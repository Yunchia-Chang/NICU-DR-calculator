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6\Downloads\"/>
    </mc:Choice>
  </mc:AlternateContent>
  <xr:revisionPtr revIDLastSave="0" documentId="13_ncr:1_{CB3AA741-E086-4B4B-95B4-157664133DE8}" xr6:coauthVersionLast="47" xr6:coauthVersionMax="47" xr10:uidLastSave="{00000000-0000-0000-0000-000000000000}"/>
  <bookViews>
    <workbookView xWindow="-108" yWindow="-108" windowWidth="23256" windowHeight="12456" firstSheet="1" activeTab="1" xr2:uid="{C7D72038-2C85-4AAC-91A3-8872AAF6FB51}"/>
  </bookViews>
  <sheets>
    <sheet name="調整前" sheetId="1" state="hidden" r:id="rId1"/>
    <sheet name="常用藥物計算機" sheetId="4" r:id="rId2"/>
    <sheet name="Ion dosage" sheetId="6" r:id="rId3"/>
    <sheet name="DART.BURST" sheetId="5" r:id="rId4"/>
    <sheet name="PUMP 總表115" sheetId="2" r:id="rId5"/>
    <sheet name="Dexmedetomidine" sheetId="3" r:id="rId6"/>
    <sheet name="工作表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" i="2" l="1"/>
  <c r="P16" i="6"/>
  <c r="M16" i="6"/>
  <c r="I16" i="6"/>
  <c r="F16" i="6"/>
  <c r="K14" i="6"/>
  <c r="K13" i="6"/>
  <c r="H14" i="6"/>
  <c r="H13" i="6"/>
  <c r="E14" i="6"/>
  <c r="B14" i="6"/>
  <c r="B13" i="6"/>
  <c r="E13" i="6" s="1"/>
  <c r="K11" i="6"/>
  <c r="H11" i="6"/>
  <c r="E11" i="6"/>
  <c r="K10" i="6"/>
  <c r="H10" i="6"/>
  <c r="B11" i="6"/>
  <c r="B10" i="6"/>
  <c r="E10" i="6" s="1"/>
  <c r="B7" i="6"/>
  <c r="B8" i="6"/>
  <c r="A5" i="6"/>
  <c r="A3" i="6"/>
  <c r="E3" i="6" s="1"/>
  <c r="B13" i="4"/>
  <c r="S34" i="4"/>
  <c r="Y34" i="4" s="1"/>
  <c r="A11" i="5"/>
  <c r="A12" i="5"/>
  <c r="A9" i="5"/>
  <c r="A8" i="5"/>
  <c r="A7" i="5"/>
  <c r="A6" i="5"/>
  <c r="A4" i="5"/>
  <c r="A3" i="5"/>
  <c r="A2" i="5"/>
  <c r="B34" i="4"/>
  <c r="B33" i="4"/>
  <c r="B32" i="4"/>
  <c r="B30" i="4"/>
  <c r="B29" i="4"/>
  <c r="D27" i="4"/>
  <c r="B27" i="4"/>
  <c r="D24" i="4"/>
  <c r="B24" i="4"/>
  <c r="D23" i="4"/>
  <c r="B23" i="4"/>
  <c r="D19" i="4"/>
  <c r="B19" i="4"/>
  <c r="B21" i="4"/>
  <c r="S33" i="4"/>
  <c r="S32" i="4"/>
  <c r="S31" i="4"/>
  <c r="S30" i="4"/>
  <c r="S29" i="4"/>
  <c r="S28" i="4"/>
  <c r="S27" i="4"/>
  <c r="W27" i="4" s="1"/>
  <c r="S25" i="4"/>
  <c r="S24" i="4"/>
  <c r="S26" i="4"/>
  <c r="Y26" i="4" s="1"/>
  <c r="S1" i="4"/>
  <c r="Q1" i="4"/>
  <c r="D17" i="4" s="1"/>
  <c r="Y24" i="4"/>
  <c r="S23" i="4"/>
  <c r="S22" i="4"/>
  <c r="S21" i="4"/>
  <c r="Y21" i="4" s="1"/>
  <c r="S20" i="4"/>
  <c r="S19" i="4"/>
  <c r="S18" i="4"/>
  <c r="S17" i="4"/>
  <c r="S15" i="4"/>
  <c r="S14" i="4"/>
  <c r="S13" i="4"/>
  <c r="S12" i="4"/>
  <c r="S10" i="4"/>
  <c r="V10" i="4" s="1"/>
  <c r="S8" i="4"/>
  <c r="Y8" i="4" s="1"/>
  <c r="S7" i="4"/>
  <c r="S5" i="4"/>
  <c r="S4" i="4"/>
  <c r="L34" i="4"/>
  <c r="I34" i="4"/>
  <c r="L31" i="4"/>
  <c r="I31" i="4"/>
  <c r="L30" i="4"/>
  <c r="I30" i="4"/>
  <c r="L29" i="4"/>
  <c r="I29" i="4"/>
  <c r="I26" i="4"/>
  <c r="I25" i="4"/>
  <c r="I24" i="4"/>
  <c r="L19" i="4"/>
  <c r="I21" i="4"/>
  <c r="N21" i="4" s="1"/>
  <c r="I20" i="4"/>
  <c r="I19" i="4"/>
  <c r="K30" i="2"/>
  <c r="I17" i="4"/>
  <c r="I16" i="4"/>
  <c r="I14" i="4"/>
  <c r="M13" i="4"/>
  <c r="I11" i="4"/>
  <c r="I10" i="4"/>
  <c r="I8" i="4"/>
  <c r="I7" i="4"/>
  <c r="I5" i="4"/>
  <c r="I4" i="4"/>
  <c r="N4" i="4" s="1"/>
  <c r="D15" i="4"/>
  <c r="B15" i="4"/>
  <c r="B14" i="4"/>
  <c r="D13" i="4"/>
  <c r="D11" i="4"/>
  <c r="B11" i="4"/>
  <c r="D9" i="4"/>
  <c r="B9" i="4"/>
  <c r="D8" i="4"/>
  <c r="B8" i="4"/>
  <c r="B6" i="4"/>
  <c r="D5" i="4"/>
  <c r="B5" i="4"/>
  <c r="D4" i="4"/>
  <c r="B4" i="4"/>
  <c r="R5" i="3"/>
  <c r="Q5" i="3"/>
  <c r="R4" i="3"/>
  <c r="Q4" i="3"/>
  <c r="R3" i="3"/>
  <c r="Q3" i="3"/>
  <c r="R2" i="3"/>
  <c r="Q2" i="3"/>
  <c r="L5" i="3"/>
  <c r="L4" i="3"/>
  <c r="L3" i="3"/>
  <c r="L2" i="3"/>
  <c r="G35" i="2"/>
  <c r="D34" i="2"/>
  <c r="D33" i="2"/>
  <c r="F29" i="2"/>
  <c r="C29" i="2" s="1"/>
  <c r="K29" i="2" s="1"/>
  <c r="K32" i="2"/>
  <c r="F28" i="2"/>
  <c r="C28" i="2" s="1"/>
  <c r="F31" i="2"/>
  <c r="C31" i="2" s="1"/>
  <c r="K31" i="2" s="1"/>
  <c r="F27" i="2"/>
  <c r="C27" i="2" s="1" a="1"/>
  <c r="C27" i="2" s="1"/>
  <c r="Q27" i="2" s="1"/>
  <c r="F25" i="2"/>
  <c r="C25" i="2" s="1"/>
  <c r="K25" i="2" s="1"/>
  <c r="F24" i="2"/>
  <c r="C24" i="2" s="1"/>
  <c r="K24" i="2" s="1"/>
  <c r="F23" i="2"/>
  <c r="C23" i="2" s="1"/>
  <c r="K23" i="2" s="1"/>
  <c r="F22" i="2"/>
  <c r="C22" i="2" s="1"/>
  <c r="K22" i="2" s="1"/>
  <c r="F21" i="2"/>
  <c r="C21" i="2" s="1"/>
  <c r="K21" i="2" s="1"/>
  <c r="F20" i="2"/>
  <c r="C20" i="2" s="1"/>
  <c r="K20" i="2" s="1"/>
  <c r="F19" i="2"/>
  <c r="C19" i="2" s="1"/>
  <c r="K19" i="2" s="1"/>
  <c r="F18" i="2"/>
  <c r="C18" i="2" s="1"/>
  <c r="K18" i="2" s="1"/>
  <c r="F15" i="2"/>
  <c r="C15" i="2" s="1"/>
  <c r="K15" i="2" s="1"/>
  <c r="F14" i="2"/>
  <c r="C14" i="2" s="1"/>
  <c r="K14" i="2" s="1"/>
  <c r="F13" i="2"/>
  <c r="C13" i="2" s="1"/>
  <c r="K13" i="2" s="1"/>
  <c r="F12" i="2"/>
  <c r="C12" i="2" s="1"/>
  <c r="F11" i="2"/>
  <c r="C11" i="2" s="1"/>
  <c r="K11" i="2" s="1"/>
  <c r="F10" i="2"/>
  <c r="C10" i="2" s="1"/>
  <c r="F9" i="2"/>
  <c r="C9" i="2" s="1"/>
  <c r="K9" i="2" s="1"/>
  <c r="F8" i="2"/>
  <c r="C8" i="2" s="1"/>
  <c r="K8" i="2" s="1"/>
  <c r="F7" i="2"/>
  <c r="C7" i="2" s="1"/>
  <c r="K7" i="2" s="1"/>
  <c r="F6" i="2"/>
  <c r="C6" i="2" s="1"/>
  <c r="F5" i="2"/>
  <c r="C5" i="2" s="1"/>
  <c r="K5" i="2" s="1"/>
  <c r="H4" i="1"/>
  <c r="M4" i="1" s="1"/>
  <c r="H5" i="1"/>
  <c r="M5" i="1" s="1"/>
  <c r="M24" i="1"/>
  <c r="M26" i="1"/>
  <c r="L26" i="1"/>
  <c r="J26" i="1"/>
  <c r="L25" i="1"/>
  <c r="M25" i="1"/>
  <c r="M14" i="1"/>
  <c r="L14" i="1"/>
  <c r="L24" i="1"/>
  <c r="J24" i="1"/>
  <c r="J25" i="1"/>
  <c r="J14" i="1"/>
  <c r="H14" i="1"/>
  <c r="B26" i="4" l="1"/>
  <c r="D26" i="4"/>
  <c r="B17" i="4"/>
  <c r="K28" i="2"/>
  <c r="K27" i="2"/>
  <c r="K12" i="2"/>
  <c r="K10" i="2"/>
  <c r="K6" i="2"/>
  <c r="J5" i="1"/>
  <c r="L5" i="1"/>
  <c r="L4" i="1"/>
  <c r="J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<sst xmlns="http://schemas.openxmlformats.org/spreadsheetml/2006/main" count="747" uniqueCount="334">
  <si>
    <t>Dopamine</t>
    <phoneticPr fontId="1" type="noConversion"/>
  </si>
  <si>
    <t>Dobutamine</t>
    <phoneticPr fontId="1" type="noConversion"/>
  </si>
  <si>
    <t>Epinephrine</t>
    <phoneticPr fontId="1" type="noConversion"/>
  </si>
  <si>
    <t>Norepinephrine</t>
    <phoneticPr fontId="1" type="noConversion"/>
  </si>
  <si>
    <t>Milrinone</t>
    <phoneticPr fontId="1" type="noConversion"/>
  </si>
  <si>
    <t xml:space="preserve">CMUH pump calculator </t>
    <phoneticPr fontId="1" type="noConversion"/>
  </si>
  <si>
    <t>Inotropic</t>
    <phoneticPr fontId="1" type="noConversion"/>
  </si>
  <si>
    <t xml:space="preserve">Other </t>
    <phoneticPr fontId="1" type="noConversion"/>
  </si>
  <si>
    <t>藥物清單</t>
    <phoneticPr fontId="1" type="noConversion"/>
  </si>
  <si>
    <t>倍率</t>
    <phoneticPr fontId="1" type="noConversion"/>
  </si>
  <si>
    <t>1:1</t>
    <phoneticPr fontId="1" type="noConversion"/>
  </si>
  <si>
    <t>1:2</t>
    <phoneticPr fontId="1" type="noConversion"/>
  </si>
  <si>
    <t>1:5</t>
    <phoneticPr fontId="1" type="noConversion"/>
  </si>
  <si>
    <t>1:10</t>
    <phoneticPr fontId="1" type="noConversion"/>
  </si>
  <si>
    <t>1:20</t>
    <phoneticPr fontId="1" type="noConversion"/>
  </si>
  <si>
    <t>2:1</t>
    <phoneticPr fontId="1" type="noConversion"/>
  </si>
  <si>
    <t>5:1</t>
    <phoneticPr fontId="1" type="noConversion"/>
  </si>
  <si>
    <t>10:1</t>
    <phoneticPr fontId="1" type="noConversion"/>
  </si>
  <si>
    <t>比例</t>
    <phoneticPr fontId="1" type="noConversion"/>
  </si>
  <si>
    <t>Vasopressin-Diabetes insipidus</t>
    <phoneticPr fontId="1" type="noConversion"/>
  </si>
  <si>
    <t>Regular insulin</t>
    <phoneticPr fontId="1" type="noConversion"/>
  </si>
  <si>
    <t>Prostaglandin E1</t>
    <phoneticPr fontId="1" type="noConversion"/>
  </si>
  <si>
    <t>Sedation,Analgesia</t>
    <phoneticPr fontId="1" type="noConversion"/>
  </si>
  <si>
    <t>Fentanyl</t>
    <phoneticPr fontId="1" type="noConversion"/>
  </si>
  <si>
    <t>Morphine</t>
    <phoneticPr fontId="1" type="noConversion"/>
  </si>
  <si>
    <t>Midazolam</t>
    <phoneticPr fontId="1" type="noConversion"/>
  </si>
  <si>
    <t>Cisatracium</t>
    <phoneticPr fontId="1" type="noConversion"/>
  </si>
  <si>
    <t>Rocuronium</t>
    <phoneticPr fontId="1" type="noConversion"/>
  </si>
  <si>
    <t>公式</t>
    <phoneticPr fontId="1" type="noConversion"/>
  </si>
  <si>
    <t>體重</t>
    <phoneticPr fontId="1" type="noConversion"/>
  </si>
  <si>
    <t>流速</t>
    <phoneticPr fontId="1" type="noConversion"/>
  </si>
  <si>
    <t>代算後建議配方</t>
    <phoneticPr fontId="1" type="noConversion"/>
  </si>
  <si>
    <t>稀釋液</t>
  </si>
  <si>
    <t>稀釋液</t>
    <phoneticPr fontId="1" type="noConversion"/>
  </si>
  <si>
    <t>NS</t>
    <phoneticPr fontId="1" type="noConversion"/>
  </si>
  <si>
    <t>D5W</t>
  </si>
  <si>
    <t>D5W</t>
    <phoneticPr fontId="1" type="noConversion"/>
  </si>
  <si>
    <t>D10W</t>
    <phoneticPr fontId="1" type="noConversion"/>
  </si>
  <si>
    <t>D20W</t>
    <phoneticPr fontId="1" type="noConversion"/>
  </si>
  <si>
    <t>體重kg</t>
    <phoneticPr fontId="1" type="noConversion"/>
  </si>
  <si>
    <t>流速ml/hr</t>
    <phoneticPr fontId="1" type="noConversion"/>
  </si>
  <si>
    <t>比例選項</t>
    <phoneticPr fontId="1" type="noConversion"/>
  </si>
  <si>
    <t>稀釋液選項</t>
    <phoneticPr fontId="1" type="noConversion"/>
  </si>
  <si>
    <t>倍率換算</t>
    <phoneticPr fontId="1" type="noConversion"/>
  </si>
  <si>
    <t>藥品</t>
    <phoneticPr fontId="1" type="noConversion"/>
  </si>
  <si>
    <t>分母值</t>
    <phoneticPr fontId="1" type="noConversion"/>
  </si>
  <si>
    <t>10:1</t>
  </si>
  <si>
    <t>Midazolam</t>
  </si>
  <si>
    <t>NS</t>
  </si>
  <si>
    <t>Furosemide</t>
    <phoneticPr fontId="1" type="noConversion"/>
  </si>
  <si>
    <t>D10W</t>
  </si>
  <si>
    <t>1:20</t>
  </si>
  <si>
    <t>Vasopressin</t>
  </si>
  <si>
    <t>Dopamine</t>
  </si>
  <si>
    <t>1:5</t>
  </si>
  <si>
    <t>NICU pump calculator</t>
    <phoneticPr fontId="1" type="noConversion"/>
  </si>
  <si>
    <t>BW</t>
    <phoneticPr fontId="1" type="noConversion"/>
  </si>
  <si>
    <t xml:space="preserve">mg in </t>
    <phoneticPr fontId="1" type="noConversion"/>
  </si>
  <si>
    <t>mL</t>
    <phoneticPr fontId="1" type="noConversion"/>
  </si>
  <si>
    <t>mL/hr</t>
    <phoneticPr fontId="1" type="noConversion"/>
  </si>
  <si>
    <t>mcg/kg/min</t>
    <phoneticPr fontId="1" type="noConversion"/>
  </si>
  <si>
    <t>kg</t>
    <phoneticPr fontId="1" type="noConversion"/>
  </si>
  <si>
    <t>(1:1)</t>
    <phoneticPr fontId="1" type="noConversion"/>
  </si>
  <si>
    <t>(1:2)</t>
    <phoneticPr fontId="1" type="noConversion"/>
  </si>
  <si>
    <t>(1:5)</t>
    <phoneticPr fontId="1" type="noConversion"/>
  </si>
  <si>
    <t>(1:10)</t>
    <phoneticPr fontId="1" type="noConversion"/>
  </si>
  <si>
    <t>(1:20)</t>
    <phoneticPr fontId="1" type="noConversion"/>
  </si>
  <si>
    <t>(2:1)</t>
    <phoneticPr fontId="1" type="noConversion"/>
  </si>
  <si>
    <t>(5:1)</t>
    <phoneticPr fontId="1" type="noConversion"/>
  </si>
  <si>
    <t>(10:1)</t>
    <phoneticPr fontId="1" type="noConversion"/>
  </si>
  <si>
    <t>Vasopressin</t>
    <phoneticPr fontId="1" type="noConversion"/>
  </si>
  <si>
    <t xml:space="preserve">IU in </t>
    <phoneticPr fontId="1" type="noConversion"/>
  </si>
  <si>
    <t>milliunits/kg/min</t>
    <phoneticPr fontId="1" type="noConversion"/>
  </si>
  <si>
    <t>Range</t>
    <phoneticPr fontId="1" type="noConversion"/>
  </si>
  <si>
    <t>IU/kg/hr</t>
    <phoneticPr fontId="1" type="noConversion"/>
  </si>
  <si>
    <t xml:space="preserve">mcg in </t>
    <phoneticPr fontId="1" type="noConversion"/>
  </si>
  <si>
    <r>
      <t>Norepinephrine建議濃度</t>
    </r>
    <r>
      <rPr>
        <b/>
        <sz val="12"/>
        <color rgb="FFFF0000"/>
        <rFont val="Microsoft JhengHei Light"/>
        <family val="2"/>
        <charset val="136"/>
      </rPr>
      <t xml:space="preserve">最濃2:1 </t>
    </r>
    <r>
      <rPr>
        <b/>
        <sz val="12"/>
        <color theme="1"/>
        <rFont val="Microsoft JhengHei Light"/>
        <family val="2"/>
        <charset val="136"/>
      </rPr>
      <t>(還是超過濃度)**</t>
    </r>
    <phoneticPr fontId="1" type="noConversion"/>
  </si>
  <si>
    <t>mg/kg/hr</t>
    <phoneticPr fontId="1" type="noConversion"/>
  </si>
  <si>
    <t>(0.04IU/cc)</t>
    <phoneticPr fontId="1" type="noConversion"/>
  </si>
  <si>
    <t>流速:(0.0125*BW-0.05*BW)</t>
    <phoneticPr fontId="1" type="noConversion"/>
  </si>
  <si>
    <t>Vasopressin-Diabetes insipidus (1) 固定10:1</t>
    <phoneticPr fontId="1" type="noConversion"/>
  </si>
  <si>
    <t>Vasopressin-Diabetes insipidus (2)固定調流速</t>
    <phoneticPr fontId="1" type="noConversion"/>
  </si>
  <si>
    <t>shock: 0.17-0.67milliunits/kg/min</t>
    <phoneticPr fontId="1" type="noConversion"/>
  </si>
  <si>
    <t>3-10mcg/kg/min</t>
    <phoneticPr fontId="1" type="noConversion"/>
  </si>
  <si>
    <t>2-20mcg/kg/min</t>
    <phoneticPr fontId="1" type="noConversion"/>
  </si>
  <si>
    <t>0.05-0.5mcg/kg/min</t>
    <phoneticPr fontId="1" type="noConversion"/>
  </si>
  <si>
    <t>0.02-0.1mcg/kg/min</t>
    <phoneticPr fontId="1" type="noConversion"/>
  </si>
  <si>
    <t>0.25-0.75mcg/kg/min</t>
    <phoneticPr fontId="1" type="noConversion"/>
  </si>
  <si>
    <t>PPHN:0.1-1.2milliunits/kg/min</t>
    <phoneticPr fontId="1" type="noConversion"/>
  </si>
  <si>
    <t>0.008-0.05mcg/kg/min</t>
    <phoneticPr fontId="1" type="noConversion"/>
  </si>
  <si>
    <t>0.16-0.83mcg/kg/min</t>
    <phoneticPr fontId="1" type="noConversion"/>
  </si>
  <si>
    <t>0.5-6.66mcg/kg/min</t>
    <phoneticPr fontId="1" type="noConversion"/>
  </si>
  <si>
    <t>0.75-11.5mcg/kg/min</t>
    <phoneticPr fontId="1" type="noConversion"/>
  </si>
  <si>
    <t>8-17mcg/kg/min</t>
    <phoneticPr fontId="1" type="noConversion"/>
  </si>
  <si>
    <t>0.01-0.1IU/kg/hr</t>
    <phoneticPr fontId="1" type="noConversion"/>
  </si>
  <si>
    <t>0.1-0.4mg/kg/hr</t>
    <phoneticPr fontId="1" type="noConversion"/>
  </si>
  <si>
    <t>0.008-0.033milliunits/kg/min</t>
    <phoneticPr fontId="1" type="noConversion"/>
  </si>
  <si>
    <r>
      <t>僅可改</t>
    </r>
    <r>
      <rPr>
        <sz val="12"/>
        <color theme="8" tint="-0.249977111117893"/>
        <rFont val="Microsoft JhengHei Light"/>
        <family val="2"/>
        <charset val="136"/>
      </rPr>
      <t>藍色</t>
    </r>
    <r>
      <rPr>
        <sz val="12"/>
        <color theme="1"/>
        <rFont val="Microsoft JhengHei Light"/>
        <family val="2"/>
        <charset val="136"/>
      </rPr>
      <t>區域</t>
    </r>
    <phoneticPr fontId="1" type="noConversion"/>
  </si>
  <si>
    <t>換算後各比例組套</t>
    <phoneticPr fontId="1" type="noConversion"/>
  </si>
  <si>
    <t>ng/kg/min</t>
    <phoneticPr fontId="1" type="noConversion"/>
  </si>
  <si>
    <t>10-400ng/kg/min</t>
    <phoneticPr fontId="1" type="noConversion"/>
  </si>
  <si>
    <t>Other    (預設數值皆為initial 最低)</t>
    <phoneticPr fontId="1" type="noConversion"/>
  </si>
  <si>
    <t>流速最低</t>
    <phoneticPr fontId="1" type="noConversion"/>
  </si>
  <si>
    <t>mL/hr</t>
  </si>
  <si>
    <t>流速最高</t>
    <phoneticPr fontId="1" type="noConversion"/>
  </si>
  <si>
    <t>單位劑量</t>
    <phoneticPr fontId="1" type="noConversion"/>
  </si>
  <si>
    <t>Insulin aspart初始PUMP</t>
    <phoneticPr fontId="1" type="noConversion"/>
  </si>
  <si>
    <t>IU/kg/hr</t>
  </si>
  <si>
    <t>Insulin aspartPUMP流速調整計算</t>
    <phoneticPr fontId="1" type="noConversion"/>
  </si>
  <si>
    <t>Vasopressin-Diabetes insipidus (2)固定調流速計算機(用於反推計算流速劑量)</t>
    <phoneticPr fontId="1" type="noConversion"/>
  </si>
  <si>
    <t>Dexmedetomidine</t>
    <phoneticPr fontId="1" type="noConversion"/>
  </si>
  <si>
    <t>mL in</t>
    <phoneticPr fontId="1" type="noConversion"/>
  </si>
  <si>
    <t>(20mcg/mL)</t>
    <phoneticPr fontId="1" type="noConversion"/>
  </si>
  <si>
    <t>流速:(0.01*BW-0.07*BW)</t>
  </si>
  <si>
    <r>
      <t>mcg/kg/</t>
    </r>
    <r>
      <rPr>
        <sz val="12"/>
        <color rgb="FFFF0000"/>
        <rFont val="Microsoft JhengHei Light"/>
        <family val="2"/>
        <charset val="136"/>
      </rPr>
      <t>hr</t>
    </r>
    <phoneticPr fontId="1" type="noConversion"/>
  </si>
  <si>
    <r>
      <t>0.2-1.4 mcg/kg/</t>
    </r>
    <r>
      <rPr>
        <sz val="12"/>
        <color rgb="FFFF0000"/>
        <rFont val="Microsoft JhengHei Light"/>
        <family val="2"/>
        <charset val="136"/>
      </rPr>
      <t>hr</t>
    </r>
    <phoneticPr fontId="1" type="noConversion"/>
  </si>
  <si>
    <t>Body weight</t>
    <phoneticPr fontId="1" type="noConversion"/>
  </si>
  <si>
    <t>(12mcg/mL)</t>
    <phoneticPr fontId="1" type="noConversion"/>
  </si>
  <si>
    <t>(8mcg/mL)</t>
    <phoneticPr fontId="1" type="noConversion"/>
  </si>
  <si>
    <t>(4mcg/mL)</t>
    <phoneticPr fontId="1" type="noConversion"/>
  </si>
  <si>
    <t>流速:(0.0166*BW-0.116*BW)</t>
    <phoneticPr fontId="1" type="noConversion"/>
  </si>
  <si>
    <t>流速:(0.025*BW-0.175*BW)</t>
    <phoneticPr fontId="1" type="noConversion"/>
  </si>
  <si>
    <t>流速:(0.05*BW-0.35*BW)</t>
    <phoneticPr fontId="1" type="noConversion"/>
  </si>
  <si>
    <t>最低流速</t>
    <phoneticPr fontId="1" type="noConversion"/>
  </si>
  <si>
    <t>最高流速</t>
    <phoneticPr fontId="1" type="noConversion"/>
  </si>
  <si>
    <t>濃度</t>
    <phoneticPr fontId="1" type="noConversion"/>
  </si>
  <si>
    <t>GA</t>
    <phoneticPr fontId="1" type="noConversion"/>
  </si>
  <si>
    <t>+</t>
    <phoneticPr fontId="1" type="noConversion"/>
  </si>
  <si>
    <t>week</t>
    <phoneticPr fontId="1" type="noConversion"/>
  </si>
  <si>
    <t>PNA</t>
    <phoneticPr fontId="1" type="noConversion"/>
  </si>
  <si>
    <t>days</t>
    <phoneticPr fontId="1" type="noConversion"/>
  </si>
  <si>
    <t>PMA</t>
    <phoneticPr fontId="1" type="noConversion"/>
  </si>
  <si>
    <t>Antimicrobial agents</t>
  </si>
  <si>
    <t>Ampicillin</t>
  </si>
  <si>
    <t>normal</t>
    <phoneticPr fontId="1" type="noConversion"/>
  </si>
  <si>
    <t>Meningitis</t>
    <phoneticPr fontId="1" type="noConversion"/>
  </si>
  <si>
    <t>Surgical prophylaxis</t>
  </si>
  <si>
    <t>mg/dose</t>
    <phoneticPr fontId="1" type="noConversion"/>
  </si>
  <si>
    <t>Cefotaxime</t>
    <phoneticPr fontId="1" type="noConversion"/>
  </si>
  <si>
    <t>Gentamicin</t>
    <phoneticPr fontId="1" type="noConversion"/>
  </si>
  <si>
    <t>Cefazolin</t>
    <phoneticPr fontId="1" type="noConversion"/>
  </si>
  <si>
    <t>Perioperative</t>
  </si>
  <si>
    <t>Postoperative</t>
    <phoneticPr fontId="1" type="noConversion"/>
  </si>
  <si>
    <t>Piperacillin 2g+ Tazobactam 0.25g</t>
    <phoneticPr fontId="1" type="noConversion"/>
  </si>
  <si>
    <t>mL/dose</t>
    <phoneticPr fontId="1" type="noConversion"/>
  </si>
  <si>
    <t>Q12H</t>
    <phoneticPr fontId="1" type="noConversion"/>
  </si>
  <si>
    <t>Loading dose</t>
    <phoneticPr fontId="1" type="noConversion"/>
  </si>
  <si>
    <t>QD</t>
    <phoneticPr fontId="1" type="noConversion"/>
  </si>
  <si>
    <t>Normal</t>
    <phoneticPr fontId="1" type="noConversion"/>
  </si>
  <si>
    <t>Treatment DAY2~</t>
    <phoneticPr fontId="1" type="noConversion"/>
  </si>
  <si>
    <t>Diuretics</t>
    <phoneticPr fontId="1" type="noConversion"/>
  </si>
  <si>
    <t>PO</t>
  </si>
  <si>
    <t>IM, intermittent IV</t>
    <phoneticPr fontId="1" type="noConversion"/>
  </si>
  <si>
    <t>QD- QOD</t>
    <phoneticPr fontId="1" type="noConversion"/>
  </si>
  <si>
    <t>Q12-48h</t>
    <phoneticPr fontId="1" type="noConversion"/>
  </si>
  <si>
    <t>Bumetanide</t>
    <phoneticPr fontId="1" type="noConversion"/>
  </si>
  <si>
    <t>Preterm</t>
    <phoneticPr fontId="1" type="noConversion"/>
  </si>
  <si>
    <t>Term</t>
    <phoneticPr fontId="1" type="noConversion"/>
  </si>
  <si>
    <t>Q12-48H</t>
    <phoneticPr fontId="1" type="noConversion"/>
  </si>
  <si>
    <t>Spironolactone</t>
    <phoneticPr fontId="1" type="noConversion"/>
  </si>
  <si>
    <t>BPD</t>
    <phoneticPr fontId="1" type="noConversion"/>
  </si>
  <si>
    <t>Edema</t>
    <phoneticPr fontId="1" type="noConversion"/>
  </si>
  <si>
    <t>QD-Q12H</t>
    <phoneticPr fontId="1" type="noConversion"/>
  </si>
  <si>
    <t>Q12-24h</t>
    <phoneticPr fontId="1" type="noConversion"/>
  </si>
  <si>
    <t>(1-3mg/kg/day Q12-24h)</t>
    <phoneticPr fontId="1" type="noConversion"/>
  </si>
  <si>
    <t>每次取量</t>
    <phoneticPr fontId="1" type="noConversion"/>
  </si>
  <si>
    <t>每次劑量</t>
    <phoneticPr fontId="1" type="noConversion"/>
  </si>
  <si>
    <t>mg</t>
    <phoneticPr fontId="1" type="noConversion"/>
  </si>
  <si>
    <t>Trichlormethiazide</t>
    <phoneticPr fontId="1" type="noConversion"/>
  </si>
  <si>
    <t>泡製1# in DW 5ml( 5mg/mL) 稀釋後冷藏14天</t>
    <phoneticPr fontId="1" type="noConversion"/>
  </si>
  <si>
    <t>Mannitol 20%</t>
    <phoneticPr fontId="1" type="noConversion"/>
  </si>
  <si>
    <t>ICP</t>
    <phoneticPr fontId="1" type="noConversion"/>
  </si>
  <si>
    <t>IOP</t>
    <phoneticPr fontId="1" type="noConversion"/>
  </si>
  <si>
    <t>PDA</t>
    <phoneticPr fontId="1" type="noConversion"/>
  </si>
  <si>
    <t>1-10mcg/kg/hr</t>
    <phoneticPr fontId="1" type="noConversion"/>
  </si>
  <si>
    <t>mcg/kg/hr</t>
    <phoneticPr fontId="1" type="noConversion"/>
  </si>
  <si>
    <t>(0.02mg/mL)</t>
    <phoneticPr fontId="1" type="noConversion"/>
  </si>
  <si>
    <t xml:space="preserve"> final concentrations of 0.02, 0.024, 0.1, 0.125, and 0.2 mg/mL have also been reported</t>
    <phoneticPr fontId="1" type="noConversion"/>
  </si>
  <si>
    <t>Propacetamol</t>
    <phoneticPr fontId="1" type="noConversion"/>
  </si>
  <si>
    <t>Acetaminophen</t>
    <phoneticPr fontId="1" type="noConversion"/>
  </si>
  <si>
    <t>Ibuprofen (Standard)</t>
    <phoneticPr fontId="1" type="noConversion"/>
  </si>
  <si>
    <t>Q6H</t>
    <phoneticPr fontId="1" type="noConversion"/>
  </si>
  <si>
    <t>&lt;  following 2 doses</t>
    <phoneticPr fontId="1" type="noConversion"/>
  </si>
  <si>
    <t>&lt;1st dose</t>
    <phoneticPr fontId="1" type="noConversion"/>
  </si>
  <si>
    <t>肺高壓</t>
    <phoneticPr fontId="1" type="noConversion"/>
  </si>
  <si>
    <t>Sildenafil</t>
    <phoneticPr fontId="1" type="noConversion"/>
  </si>
  <si>
    <t>Bosentan</t>
    <phoneticPr fontId="1" type="noConversion"/>
  </si>
  <si>
    <t>Iloprost</t>
    <phoneticPr fontId="1" type="noConversion"/>
  </si>
  <si>
    <t>Q4H</t>
    <phoneticPr fontId="1" type="noConversion"/>
  </si>
  <si>
    <t>Apnea</t>
    <phoneticPr fontId="1" type="noConversion"/>
  </si>
  <si>
    <t>Aminophylline</t>
    <phoneticPr fontId="1" type="noConversion"/>
  </si>
  <si>
    <t>&lt; Loading</t>
    <phoneticPr fontId="1" type="noConversion"/>
  </si>
  <si>
    <t>&lt; Maintain</t>
    <phoneticPr fontId="1" type="noConversion"/>
  </si>
  <si>
    <t>Theophylline</t>
    <phoneticPr fontId="1" type="noConversion"/>
  </si>
  <si>
    <t>Caffeine citrate</t>
    <phoneticPr fontId="1" type="noConversion"/>
  </si>
  <si>
    <t>(Loading: 20 mg/kg, Maintain:10 mg/kg/day QD starting 24 hours after L)</t>
    <phoneticPr fontId="1" type="noConversion"/>
  </si>
  <si>
    <r>
      <t xml:space="preserve">Poractant alfa: </t>
    </r>
    <r>
      <rPr>
        <sz val="12"/>
        <color theme="1"/>
        <rFont val="Calibri"/>
        <family val="2"/>
      </rPr>
      <t>ET</t>
    </r>
  </si>
  <si>
    <t>&gt;&gt;</t>
    <phoneticPr fontId="1" type="noConversion"/>
  </si>
  <si>
    <t>Seizure control</t>
    <phoneticPr fontId="1" type="noConversion"/>
  </si>
  <si>
    <t>Loading dose (1)</t>
    <phoneticPr fontId="1" type="noConversion"/>
  </si>
  <si>
    <t>Phenobarbital (IV)</t>
    <phoneticPr fontId="1" type="noConversion"/>
  </si>
  <si>
    <t>Maintenance (PO.IV)</t>
    <phoneticPr fontId="1" type="noConversion"/>
  </si>
  <si>
    <t>Levetiracetam</t>
    <phoneticPr fontId="1" type="noConversion"/>
  </si>
  <si>
    <t>Chloral hydrate 10%</t>
    <phoneticPr fontId="1" type="noConversion"/>
  </si>
  <si>
    <t>Sedation</t>
    <phoneticPr fontId="1" type="noConversion"/>
  </si>
  <si>
    <t>mL/dose</t>
  </si>
  <si>
    <t>Albumin</t>
    <phoneticPr fontId="1" type="noConversion"/>
  </si>
  <si>
    <t>g/dose</t>
    <phoneticPr fontId="1" type="noConversion"/>
  </si>
  <si>
    <t>QD</t>
  </si>
  <si>
    <t>Eptacog alfa(Factor 7)</t>
    <phoneticPr fontId="1" type="noConversion"/>
  </si>
  <si>
    <t>mcg/dose</t>
    <phoneticPr fontId="1" type="noConversion"/>
  </si>
  <si>
    <t>Q2-6H</t>
    <phoneticPr fontId="1" type="noConversion"/>
  </si>
  <si>
    <t>Beriplex P/N</t>
    <phoneticPr fontId="1" type="noConversion"/>
  </si>
  <si>
    <t xml:space="preserve"> IU/kg</t>
    <phoneticPr fontId="1" type="noConversion"/>
  </si>
  <si>
    <t>(30 IU/kg)</t>
    <phoneticPr fontId="1" type="noConversion"/>
  </si>
  <si>
    <t>(50mcg/dose)</t>
    <phoneticPr fontId="1" type="noConversion"/>
  </si>
  <si>
    <t>(1g/kg)</t>
    <phoneticPr fontId="1" type="noConversion"/>
  </si>
  <si>
    <t>(25mg/kg)</t>
    <phoneticPr fontId="1" type="noConversion"/>
  </si>
  <si>
    <t>(20mg/kg/day)</t>
    <phoneticPr fontId="1" type="noConversion"/>
  </si>
  <si>
    <t>(15mg/kg/day)</t>
    <phoneticPr fontId="1" type="noConversion"/>
  </si>
  <si>
    <t>(3mg/kg/day)</t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</si>
  <si>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0.5</t>
    </r>
    <r>
      <rPr>
        <sz val="12"/>
        <color theme="1"/>
        <rFont val="Microsoft JhengHei UI Light"/>
        <family val="2"/>
        <charset val="136"/>
      </rPr>
      <t xml:space="preserve"> -2 mg/kg/dose Q6-8h)</t>
    </r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</si>
  <si>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0.5</t>
    </r>
    <r>
      <rPr>
        <sz val="12"/>
        <color theme="1"/>
        <rFont val="Microsoft JhengHei UI Light"/>
        <family val="2"/>
        <charset val="136"/>
      </rPr>
      <t>-2 mcg/kg/dose)</t>
    </r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</si>
  <si>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0.04</t>
    </r>
    <r>
      <rPr>
        <sz val="12"/>
        <color theme="1"/>
        <rFont val="Microsoft JhengHei UI Light"/>
        <family val="2"/>
        <charset val="136"/>
      </rPr>
      <t>-1.6mg/kg/day QD-Q12h)</t>
    </r>
    <phoneticPr fontId="1" type="noConversion"/>
  </si>
  <si>
    <t>(0.25mg/kg)</t>
    <phoneticPr fontId="1" type="noConversion"/>
  </si>
  <si>
    <t>(1.5mg/kg)</t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</si>
  <si>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0.01</t>
    </r>
    <r>
      <rPr>
        <sz val="12"/>
        <color theme="1"/>
        <rFont val="Microsoft JhengHei UI Light"/>
        <family val="2"/>
        <charset val="136"/>
      </rPr>
      <t>-0.06mg/kg Q12-48h)</t>
    </r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</si>
  <si>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0.01</t>
    </r>
    <r>
      <rPr>
        <sz val="12"/>
        <color theme="1"/>
        <rFont val="Microsoft JhengHei UI Light"/>
        <family val="2"/>
        <charset val="136"/>
      </rPr>
      <t>-0.05 mg/kg Q12-24h)</t>
    </r>
    <phoneticPr fontId="1" type="noConversion"/>
  </si>
  <si>
    <t>(1mg/kg)</t>
    <phoneticPr fontId="1" type="noConversion"/>
  </si>
  <si>
    <t>Filgrastim</t>
    <phoneticPr fontId="1" type="noConversion"/>
  </si>
  <si>
    <t>Miscellaneous.GCSF</t>
    <phoneticPr fontId="1" type="noConversion"/>
  </si>
  <si>
    <t>mcg/kg</t>
    <phoneticPr fontId="1" type="noConversion"/>
  </si>
  <si>
    <t>(10mcg/kg/dose)</t>
    <phoneticPr fontId="1" type="noConversion"/>
  </si>
  <si>
    <t>胃腸類藥品/營養補充品/維他命/其它</t>
    <phoneticPr fontId="1" type="noConversion"/>
  </si>
  <si>
    <t>(0.25mg/kg/dose)</t>
    <phoneticPr fontId="1" type="noConversion"/>
  </si>
  <si>
    <t>Famotidine(PO.IV)</t>
    <phoneticPr fontId="1" type="noConversion"/>
  </si>
  <si>
    <t>Pantoprazole(IV)</t>
    <phoneticPr fontId="1" type="noConversion"/>
  </si>
  <si>
    <t>Esomeprazole(PO)</t>
    <phoneticPr fontId="1" type="noConversion"/>
  </si>
  <si>
    <t>(0.5mg/kg/dose)</t>
    <phoneticPr fontId="1" type="noConversion"/>
  </si>
  <si>
    <t>Lansoprazole(PO)</t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</si>
  <si>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0.5</t>
    </r>
    <r>
      <rPr>
        <sz val="12"/>
        <color theme="1"/>
        <rFont val="Microsoft JhengHei UI Light"/>
        <family val="2"/>
        <charset val="136"/>
      </rPr>
      <t>-1.5mg/kg/dose)</t>
    </r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</si>
  <si>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0.6</t>
    </r>
    <r>
      <rPr>
        <sz val="12"/>
        <color theme="1"/>
        <rFont val="Microsoft JhengHei UI Light"/>
        <family val="2"/>
        <charset val="136"/>
      </rPr>
      <t>-1.2mg/kg/day)</t>
    </r>
    <phoneticPr fontId="1" type="noConversion"/>
  </si>
  <si>
    <t>Domperidone (PO)</t>
    <phoneticPr fontId="1" type="noConversion"/>
  </si>
  <si>
    <t>Q8H</t>
    <phoneticPr fontId="1" type="noConversion"/>
  </si>
  <si>
    <t>Mosapride(PO)</t>
    <phoneticPr fontId="1" type="noConversion"/>
  </si>
  <si>
    <t>(0.3mg/kg/day)</t>
    <phoneticPr fontId="1" type="noConversion"/>
  </si>
  <si>
    <t>Metoclopramide</t>
    <phoneticPr fontId="1" type="noConversion"/>
  </si>
  <si>
    <t>Q12H</t>
  </si>
  <si>
    <t>(0.1 mg/kg/dose)</t>
    <phoneticPr fontId="1" type="noConversion"/>
  </si>
  <si>
    <t>Dioctahedral Smectite</t>
    <phoneticPr fontId="1" type="noConversion"/>
  </si>
  <si>
    <t>(1.5 g/dose)</t>
    <phoneticPr fontId="1" type="noConversion"/>
  </si>
  <si>
    <t>pac/dose</t>
    <phoneticPr fontId="1" type="noConversion"/>
  </si>
  <si>
    <t>Racecadotril</t>
    <phoneticPr fontId="1" type="noConversion"/>
  </si>
  <si>
    <t>(1.5 mg/kg/dose)</t>
    <phoneticPr fontId="1" type="noConversion"/>
  </si>
  <si>
    <t>Calcitriol</t>
    <phoneticPr fontId="1" type="noConversion"/>
  </si>
  <si>
    <t>(0.1mcg/kg/dose)</t>
    <phoneticPr fontId="1" type="noConversion"/>
  </si>
  <si>
    <t>Sideral GOCCE P</t>
    <phoneticPr fontId="1" type="noConversion"/>
  </si>
  <si>
    <t>mL/day</t>
    <phoneticPr fontId="1" type="noConversion"/>
  </si>
  <si>
    <t>Ursodeoxycholic acid</t>
    <phoneticPr fontId="1" type="noConversion"/>
  </si>
  <si>
    <r>
      <t>(10-</t>
    </r>
    <r>
      <rPr>
        <sz val="12"/>
        <color rgb="FFFF0000"/>
        <rFont val="Microsoft JhengHei UI Light"/>
        <family val="2"/>
        <charset val="136"/>
      </rPr>
      <t>30</t>
    </r>
    <r>
      <rPr>
        <sz val="12"/>
        <color theme="1"/>
        <rFont val="Microsoft JhengHei UI Light"/>
        <family val="2"/>
        <charset val="136"/>
      </rPr>
      <t>mg/kg/day)</t>
    </r>
    <phoneticPr fontId="1" type="noConversion"/>
  </si>
  <si>
    <t>Silymarin</t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</si>
  <si>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3.75</t>
    </r>
    <r>
      <rPr>
        <sz val="12"/>
        <color theme="1"/>
        <rFont val="Microsoft JhengHei UI Light"/>
        <family val="2"/>
        <charset val="136"/>
      </rPr>
      <t>-4mg/kg/dose)</t>
    </r>
    <phoneticPr fontId="1" type="noConversion"/>
  </si>
  <si>
    <t>(10 mg/kg/dose)</t>
    <phoneticPr fontId="1" type="noConversion"/>
  </si>
  <si>
    <t>Tranexamic Acid(IV)</t>
    <phoneticPr fontId="1" type="noConversion"/>
  </si>
  <si>
    <t>Diazoxide(PO)</t>
    <phoneticPr fontId="1" type="noConversion"/>
  </si>
  <si>
    <t>(10 mg/kg/day)</t>
    <phoneticPr fontId="1" type="noConversion"/>
  </si>
  <si>
    <t>Levothyroxine</t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</si>
  <si>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10</t>
    </r>
    <r>
      <rPr>
        <sz val="12"/>
        <color theme="1"/>
        <rFont val="Microsoft JhengHei UI Light"/>
        <family val="2"/>
        <charset val="136"/>
      </rPr>
      <t xml:space="preserve"> - 15 mcg/kg/dose)</t>
    </r>
    <phoneticPr fontId="1" type="noConversion"/>
  </si>
  <si>
    <t>60 mins prior</t>
    <phoneticPr fontId="1" type="noConversion"/>
  </si>
  <si>
    <t>30-60 mins prior</t>
    <phoneticPr fontId="1" type="noConversion"/>
  </si>
  <si>
    <t>Propranolol</t>
    <phoneticPr fontId="1" type="noConversion"/>
  </si>
  <si>
    <t>(0.5 mg/kg/day)</t>
    <phoneticPr fontId="1" type="noConversion"/>
  </si>
  <si>
    <t>&gt;</t>
    <phoneticPr fontId="1" type="noConversion"/>
  </si>
  <si>
    <t>Infantile Hemangiomas</t>
    <phoneticPr fontId="1" type="noConversion"/>
  </si>
  <si>
    <t>Amoxicillin 1g + Clavulanate 0.2g 5:1(IV)</t>
  </si>
  <si>
    <t>Normal</t>
  </si>
  <si>
    <t>mg/dose</t>
  </si>
  <si>
    <t>Meropenem</t>
  </si>
  <si>
    <t>Meningitis</t>
  </si>
  <si>
    <t>Vancomycin (Initial)</t>
  </si>
  <si>
    <t xml:space="preserve">Initial </t>
  </si>
  <si>
    <t>Teicoplanin</t>
  </si>
  <si>
    <t>Loading dose</t>
  </si>
  <si>
    <t>Day 1</t>
  </si>
  <si>
    <t>Maintenance dose</t>
  </si>
  <si>
    <t>Fluconazole</t>
  </si>
  <si>
    <t>Prophylaxis</t>
  </si>
  <si>
    <t>Q3D/QOD</t>
  </si>
  <si>
    <t>Treatment DAY 1</t>
  </si>
  <si>
    <r>
      <rPr>
        <b/>
        <sz val="12"/>
        <color theme="1"/>
        <rFont val="Microsoft JhengHei UI Light"/>
        <family val="2"/>
        <charset val="136"/>
      </rPr>
      <t>液粉</t>
    </r>
    <r>
      <rPr>
        <b/>
        <sz val="12"/>
        <color theme="1"/>
        <rFont val="Calibri"/>
        <family val="2"/>
      </rPr>
      <t>(</t>
    </r>
    <r>
      <rPr>
        <b/>
        <sz val="12"/>
        <color theme="1"/>
        <rFont val="Microsoft JhengHei UI Light"/>
        <family val="2"/>
        <charset val="136"/>
      </rPr>
      <t>複方</t>
    </r>
    <r>
      <rPr>
        <b/>
        <sz val="12"/>
        <color theme="1"/>
        <rFont val="Calibri"/>
        <family val="2"/>
      </rPr>
      <t>) (4:1)Amoxicillin 50 mg + Clavulanic acid 12.5 mg/mL : PO</t>
    </r>
  </si>
  <si>
    <t xml:space="preserve">Dart   (Dexamethasone) </t>
    <phoneticPr fontId="1" type="noConversion"/>
  </si>
  <si>
    <t>STOP-BPD protocol (Hydrocortisone )</t>
    <phoneticPr fontId="1" type="noConversion"/>
  </si>
  <si>
    <t>2days</t>
    <phoneticPr fontId="1" type="noConversion"/>
  </si>
  <si>
    <t xml:space="preserve">Burst (BPD burst)----Prednisolone </t>
    <phoneticPr fontId="1" type="noConversion"/>
  </si>
  <si>
    <t>3days</t>
    <phoneticPr fontId="1" type="noConversion"/>
  </si>
  <si>
    <t xml:space="preserve">1mg/kg/dose Q6H 2day 
1mg/kg/dose Q12H 2day 
1mg/kg/dose QD 2day 
Total treatment for 6days </t>
    <phoneticPr fontId="1" type="noConversion"/>
  </si>
  <si>
    <t xml:space="preserve">0.15mg/kg/day     3day 
0.1mg/kg/day     3day 
0.05mg/kg/day     2day 
0.02mg/kg/day     2day 
Total treatment for 10days </t>
    <phoneticPr fontId="1" type="noConversion"/>
  </si>
  <si>
    <t>1 mg/kg/day Q12h for 7 days, 
0.5 mg/kg/day QD for 3 days</t>
    <phoneticPr fontId="1" type="noConversion"/>
  </si>
  <si>
    <t>7days</t>
    <phoneticPr fontId="1" type="noConversion"/>
  </si>
  <si>
    <t>Piracetam</t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</si>
  <si>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40</t>
    </r>
    <r>
      <rPr>
        <sz val="12"/>
        <color theme="1"/>
        <rFont val="Microsoft JhengHei UI Light"/>
        <family val="2"/>
        <charset val="136"/>
      </rPr>
      <t>-100mg/kg/day)</t>
    </r>
    <phoneticPr fontId="1" type="noConversion"/>
  </si>
  <si>
    <t>Q8-Q12h</t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</si>
  <si>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25</t>
    </r>
    <r>
      <rPr>
        <sz val="12"/>
        <color theme="1"/>
        <rFont val="Microsoft JhengHei UI Light"/>
        <family val="2"/>
        <charset val="136"/>
      </rPr>
      <t xml:space="preserve"> - 50 mg/kg/dose)</t>
    </r>
    <phoneticPr fontId="1" type="noConversion"/>
  </si>
  <si>
    <t>Magnesium Sulfate 10% (MgSO4)100mg/mL (IV)</t>
    <phoneticPr fontId="1" type="noConversion"/>
  </si>
  <si>
    <t>Magnesium Oxide</t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</si>
  <si>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16.5</t>
    </r>
    <r>
      <rPr>
        <sz val="12"/>
        <color theme="1"/>
        <rFont val="Microsoft JhengHei UI Light"/>
        <family val="2"/>
        <charset val="136"/>
      </rPr>
      <t>-33.1mg/kg/dose)</t>
    </r>
    <phoneticPr fontId="1" type="noConversion"/>
  </si>
  <si>
    <t>QID</t>
    <phoneticPr fontId="1" type="noConversion"/>
  </si>
  <si>
    <t>Calcium Gluconate 10% (PO.IV)</t>
    <phoneticPr fontId="1" type="noConversion"/>
  </si>
  <si>
    <t>PO</t>
    <phoneticPr fontId="1" type="noConversion"/>
  </si>
  <si>
    <t>IV</t>
    <phoneticPr fontId="1" type="noConversion"/>
  </si>
  <si>
    <t>(1-2mL/kg/dose)</t>
    <phoneticPr fontId="1" type="noConversion"/>
  </si>
  <si>
    <t>Q6h</t>
    <phoneticPr fontId="1" type="noConversion"/>
  </si>
  <si>
    <r>
      <t>(</t>
    </r>
    <r>
      <rPr>
        <sz val="12"/>
        <color rgb="FFFF0000"/>
        <rFont val="Microsoft JhengHei UI Light"/>
        <family val="2"/>
        <charset val="136"/>
      </rPr>
      <t>5.37</t>
    </r>
    <r>
      <rPr>
        <sz val="12"/>
        <color theme="1"/>
        <rFont val="Microsoft JhengHei UI Light"/>
        <family val="2"/>
        <charset val="136"/>
      </rPr>
      <t>-8.06mL/kg/day)</t>
    </r>
    <phoneticPr fontId="1" type="noConversion"/>
  </si>
  <si>
    <r>
      <t>1. 僅可改</t>
    </r>
    <r>
      <rPr>
        <sz val="12"/>
        <color theme="8" tint="-0.249977111117893"/>
        <rFont val="Microsoft JhengHei Light"/>
        <family val="2"/>
        <charset val="136"/>
      </rPr>
      <t>藍色</t>
    </r>
    <r>
      <rPr>
        <sz val="12"/>
        <color theme="1"/>
        <rFont val="Microsoft JhengHei Light"/>
        <family val="2"/>
        <charset val="136"/>
      </rPr>
      <t xml:space="preserve">區域 </t>
    </r>
    <r>
      <rPr>
        <b/>
        <sz val="12"/>
        <color theme="1"/>
        <rFont val="Microsoft JhengHei Light"/>
        <family val="2"/>
        <charset val="136"/>
      </rPr>
      <t xml:space="preserve"> 2.</t>
    </r>
    <r>
      <rPr>
        <b/>
        <sz val="12"/>
        <color rgb="FFFF0000"/>
        <rFont val="Microsoft JhengHei Light"/>
        <family val="2"/>
        <charset val="136"/>
      </rPr>
      <t>離子藥物建議再確認</t>
    </r>
    <phoneticPr fontId="1" type="noConversion"/>
  </si>
  <si>
    <t>Calcium gluconated(PO)</t>
    <phoneticPr fontId="1" type="noConversion"/>
  </si>
  <si>
    <t>tab/day</t>
    <phoneticPr fontId="1" type="noConversion"/>
  </si>
  <si>
    <t>Initial</t>
    <phoneticPr fontId="1" type="noConversion"/>
  </si>
  <si>
    <t>Max</t>
    <phoneticPr fontId="1" type="noConversion"/>
  </si>
  <si>
    <t>每粒 含鈣:103.86mg ;磷：66.51mg (鈣磷比:1.5:1),Vit D2. 330 IU</t>
    <phoneticPr fontId="1" type="noConversion"/>
  </si>
  <si>
    <t>mg/kg/day</t>
    <phoneticPr fontId="1" type="noConversion"/>
  </si>
  <si>
    <t>P</t>
    <phoneticPr fontId="1" type="noConversion"/>
  </si>
  <si>
    <t>Ca</t>
    <phoneticPr fontId="1" type="noConversion"/>
  </si>
  <si>
    <t>Vit D2</t>
    <phoneticPr fontId="1" type="noConversion"/>
  </si>
  <si>
    <t>IU</t>
    <phoneticPr fontId="1" type="noConversion"/>
  </si>
  <si>
    <t>Bio-cal Plus chewable Tab.</t>
    <phoneticPr fontId="1" type="noConversion"/>
  </si>
  <si>
    <t>Vit D3</t>
    <phoneticPr fontId="1" type="noConversion"/>
  </si>
  <si>
    <t>每粒 含鈣:450mg ;磷：230mg (鈣磷比:2:1) Cholecalciferol 330 IU</t>
    <phoneticPr fontId="1" type="noConversion"/>
  </si>
  <si>
    <t xml:space="preserve">All-right calcium suspension </t>
    <phoneticPr fontId="1" type="noConversion"/>
  </si>
  <si>
    <t>2.5mL/day</t>
    <phoneticPr fontId="1" type="noConversion"/>
  </si>
  <si>
    <t>Vitamin A</t>
    <phoneticPr fontId="1" type="noConversion"/>
  </si>
  <si>
    <t>每mL 含鈣:39.92mg;磷:20.57mg(鈣磷比: 2:1)</t>
    <phoneticPr fontId="1" type="noConversion"/>
  </si>
  <si>
    <t>mg/kg/dose</t>
    <phoneticPr fontId="1" type="noConversion"/>
  </si>
  <si>
    <t>IU/kg/dose</t>
    <phoneticPr fontId="1" type="noConversion"/>
  </si>
  <si>
    <t>換算器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</si>
</sst>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m&quot;月&quot;d&quot;日&quot;"/>
    <numFmt numFmtId="178" formatCode="0.0000"/>
  </numFmts>
  <fonts count="3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color theme="1"/>
      <name val="Noto Sans TC Black"/>
      <family val="2"/>
      <charset val="136"/>
    </font>
    <font>
      <b/>
      <sz val="16"/>
      <color theme="5" tint="-0.249977111117893"/>
      <name val="Noto Sans TC Black"/>
      <family val="2"/>
      <charset val="136"/>
    </font>
    <font>
      <b/>
      <sz val="12"/>
      <color theme="1"/>
      <name val="Noto Sans HK Black"/>
      <family val="2"/>
      <charset val="136"/>
    </font>
    <font>
      <b/>
      <sz val="16"/>
      <color theme="7" tint="-0.499984740745262"/>
      <name val="Noto Sans HK Black"/>
      <family val="2"/>
      <charset val="136"/>
    </font>
    <font>
      <b/>
      <sz val="12"/>
      <name val="Noto Sans TC Black"/>
      <family val="2"/>
      <charset val="136"/>
    </font>
    <font>
      <sz val="12"/>
      <color theme="1"/>
      <name val="Microsoft JhengHei Light"/>
      <family val="2"/>
      <charset val="136"/>
    </font>
    <font>
      <sz val="16"/>
      <color theme="9" tint="-0.499984740745262"/>
      <name val="Noto Sans HK Black"/>
      <family val="2"/>
      <charset val="136"/>
    </font>
    <font>
      <sz val="12"/>
      <name val="Microsoft JhengHei Light"/>
      <family val="2"/>
      <charset val="136"/>
    </font>
    <font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color theme="1"/>
      <name val="Microsoft JhengHei Light"/>
      <family val="2"/>
      <charset val="136"/>
    </font>
    <font>
      <b/>
      <sz val="12"/>
      <color rgb="FFFF0000"/>
      <name val="Microsoft JhengHei Light"/>
      <family val="2"/>
      <charset val="136"/>
    </font>
    <font>
      <sz val="12"/>
      <color theme="8" tint="-0.249977111117893"/>
      <name val="Microsoft JhengHei Light"/>
      <family val="2"/>
      <charset val="136"/>
    </font>
    <font>
      <b/>
      <sz val="11"/>
      <color theme="1"/>
      <name val="Noto Sans HK Black"/>
      <family val="2"/>
      <charset val="136"/>
    </font>
    <font>
      <b/>
      <sz val="11"/>
      <color theme="1"/>
      <name val="Microsoft JhengHei Light"/>
      <family val="2"/>
      <charset val="136"/>
    </font>
    <font>
      <sz val="12"/>
      <color rgb="FFFF0000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sz val="12"/>
      <color theme="1"/>
      <name val="Noto Sans TC Black"/>
      <family val="2"/>
      <charset val="136"/>
    </font>
    <font>
      <sz val="12"/>
      <color theme="1"/>
      <name val="Microsoft JhengHei UI Light"/>
      <family val="2"/>
      <charset val="136"/>
    </font>
    <font>
      <sz val="12"/>
      <color theme="1"/>
      <name val="Noto Sans HK Black"/>
      <family val="2"/>
      <charset val="136"/>
    </font>
    <font>
      <sz val="10"/>
      <color theme="1"/>
      <name val="Noto Sans HK Black"/>
      <family val="2"/>
      <charset val="136"/>
    </font>
    <font>
      <b/>
      <sz val="12"/>
      <color theme="1"/>
      <name val="Calibri"/>
      <family val="2"/>
    </font>
    <font>
      <sz val="12"/>
      <color theme="1"/>
      <name val="Microsoft JhengHei UI"/>
      <family val="2"/>
      <charset val="136"/>
    </font>
    <font>
      <sz val="12"/>
      <color rgb="FFFF0000"/>
      <name val="Microsoft JhengHei UI Light"/>
      <family val="2"/>
      <charset val="136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theme="1"/>
      <name val="Microsoft JhengHei UI Light"/>
      <family val="2"/>
      <charset val="136"/>
    </font>
    <font>
      <sz val="10"/>
      <color theme="1"/>
      <name val="Microsoft JhengHei UI Light"/>
      <family val="2"/>
      <charset val="136"/>
    </font>
    <font>
      <sz val="12"/>
      <name val="Microsoft JhengHei UI Light"/>
      <family val="2"/>
      <charset val="136"/>
    </font>
    <font>
      <b/>
      <sz val="12"/>
      <color theme="1"/>
      <name val="新細明體"/>
      <family val="2"/>
      <charset val="136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3">
    <xf numFmtId="0" fontId="0" fillId="0" borderId="0" xfId="0">
      <alignment vertical="center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49" fontId="7" fillId="5" borderId="1" xfId="0" applyNumberFormat="1" applyFont="1" applyFill="1" applyBorder="1" applyAlignment="1" applyProtection="1">
      <alignment horizontal="center" vertical="center"/>
      <protection locked="0"/>
    </xf>
    <xf numFmtId="49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</xf>
    <xf numFmtId="0" fontId="6" fillId="7" borderId="1" xfId="0" applyFont="1" applyFill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7" fillId="7" borderId="1" xfId="0" applyFont="1" applyFill="1" applyBorder="1" applyAlignment="1" applyProtection="1">
      <alignment horizontal="center" vertical="center"/>
    </xf>
    <xf numFmtId="49" fontId="7" fillId="7" borderId="1" xfId="0" applyNumberFormat="1" applyFont="1" applyFill="1" applyBorder="1" applyAlignment="1" applyProtection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</xf>
    <xf numFmtId="0" fontId="10" fillId="5" borderId="1" xfId="0" applyFont="1" applyFill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0" fillId="0" borderId="1" xfId="0" applyBorder="1" applyProtection="1">
      <alignment vertical="center"/>
    </xf>
    <xf numFmtId="0" fontId="4" fillId="6" borderId="1" xfId="0" applyFont="1" applyFill="1" applyBorder="1" applyAlignment="1" applyProtection="1">
      <alignment horizontal="center" vertical="center"/>
    </xf>
    <xf numFmtId="0" fontId="0" fillId="6" borderId="0" xfId="0" applyFill="1" applyProtection="1">
      <alignment vertical="center"/>
    </xf>
    <xf numFmtId="0" fontId="7" fillId="6" borderId="1" xfId="0" applyFont="1" applyFill="1" applyBorder="1" applyAlignment="1" applyProtection="1">
      <alignment horizontal="center" vertical="center"/>
    </xf>
    <xf numFmtId="0" fontId="12" fillId="6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7" fillId="5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49" fontId="7" fillId="0" borderId="1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Protection="1">
      <alignment vertical="center"/>
    </xf>
    <xf numFmtId="0" fontId="10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Protection="1">
      <alignment vertical="center"/>
    </xf>
    <xf numFmtId="0" fontId="7" fillId="0" borderId="0" xfId="0" applyFo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Border="1" applyAlignment="1" applyProtection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7" fillId="8" borderId="18" xfId="0" applyFont="1" applyFill="1" applyBorder="1" applyAlignment="1" applyProtection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3" xfId="0" applyNumberFormat="1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0" borderId="18" xfId="0" applyFont="1" applyBorder="1">
      <alignment vertical="center"/>
    </xf>
    <xf numFmtId="0" fontId="7" fillId="7" borderId="18" xfId="0" applyFont="1" applyFill="1" applyBorder="1" applyAlignment="1">
      <alignment horizontal="center" vertical="center"/>
    </xf>
    <xf numFmtId="49" fontId="7" fillId="0" borderId="18" xfId="0" applyNumberFormat="1" applyFont="1" applyFill="1" applyBorder="1" applyAlignment="1" applyProtection="1">
      <alignment horizontal="center" vertical="center"/>
    </xf>
    <xf numFmtId="0" fontId="7" fillId="0" borderId="16" xfId="0" applyFont="1" applyBorder="1">
      <alignment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0" borderId="17" xfId="0" applyFont="1" applyBorder="1">
      <alignment vertical="center"/>
    </xf>
    <xf numFmtId="0" fontId="7" fillId="7" borderId="17" xfId="0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 applyProtection="1">
      <alignment horizontal="center" vertical="center"/>
    </xf>
    <xf numFmtId="0" fontId="7" fillId="0" borderId="12" xfId="0" applyFont="1" applyBorder="1">
      <alignment vertical="center"/>
    </xf>
    <xf numFmtId="0" fontId="16" fillId="0" borderId="11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9" fillId="10" borderId="14" xfId="0" applyFont="1" applyFill="1" applyBorder="1" applyAlignment="1" applyProtection="1">
      <alignment horizontal="center" vertical="center"/>
    </xf>
    <xf numFmtId="0" fontId="9" fillId="10" borderId="16" xfId="0" applyFont="1" applyFill="1" applyBorder="1" applyAlignment="1" applyProtection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0" borderId="9" xfId="0" applyFont="1" applyBorder="1">
      <alignment vertical="center"/>
    </xf>
    <xf numFmtId="49" fontId="7" fillId="0" borderId="9" xfId="0" applyNumberFormat="1" applyFont="1" applyFill="1" applyBorder="1" applyAlignment="1" applyProtection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13" borderId="2" xfId="0" applyFont="1" applyFill="1" applyBorder="1" applyAlignment="1" applyProtection="1">
      <alignment horizontal="center" vertical="center"/>
    </xf>
    <xf numFmtId="0" fontId="7" fillId="13" borderId="0" xfId="0" applyFont="1" applyFill="1" applyBorder="1" applyAlignment="1" applyProtection="1">
      <alignment horizontal="center" vertical="center"/>
    </xf>
    <xf numFmtId="0" fontId="7" fillId="13" borderId="0" xfId="0" applyFont="1" applyFill="1" applyBorder="1">
      <alignment vertical="center"/>
    </xf>
    <xf numFmtId="176" fontId="7" fillId="7" borderId="17" xfId="0" applyNumberFormat="1" applyFont="1" applyFill="1" applyBorder="1" applyAlignment="1">
      <alignment horizontal="center" vertical="center"/>
    </xf>
    <xf numFmtId="176" fontId="7" fillId="7" borderId="18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7" fillId="0" borderId="0" xfId="0" applyFont="1" applyFill="1">
      <alignment vertical="center"/>
    </xf>
    <xf numFmtId="0" fontId="7" fillId="0" borderId="17" xfId="0" applyFont="1" applyFill="1" applyBorder="1" applyAlignment="1">
      <alignment vertical="center"/>
    </xf>
    <xf numFmtId="0" fontId="7" fillId="0" borderId="18" xfId="0" applyFont="1" applyFill="1" applyBorder="1" applyAlignment="1">
      <alignment vertical="center"/>
    </xf>
    <xf numFmtId="0" fontId="7" fillId="7" borderId="18" xfId="0" applyFont="1" applyFill="1" applyBorder="1">
      <alignment vertical="center"/>
    </xf>
    <xf numFmtId="0" fontId="7" fillId="0" borderId="20" xfId="0" applyFont="1" applyFill="1" applyBorder="1" applyAlignment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7" fillId="13" borderId="17" xfId="0" applyFont="1" applyFill="1" applyBorder="1" applyAlignment="1">
      <alignment vertical="center"/>
    </xf>
    <xf numFmtId="0" fontId="7" fillId="13" borderId="12" xfId="0" applyFont="1" applyFill="1" applyBorder="1" applyAlignment="1">
      <alignment vertical="center"/>
    </xf>
    <xf numFmtId="0" fontId="7" fillId="13" borderId="14" xfId="0" applyFont="1" applyFill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7" fillId="0" borderId="0" xfId="0" applyFont="1" applyFill="1" applyBorder="1">
      <alignment vertical="center"/>
    </xf>
    <xf numFmtId="0" fontId="7" fillId="7" borderId="19" xfId="0" applyFont="1" applyFill="1" applyBorder="1" applyAlignment="1">
      <alignment horizontal="center" vertical="center"/>
    </xf>
    <xf numFmtId="178" fontId="7" fillId="7" borderId="18" xfId="0" applyNumberFormat="1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8" borderId="13" xfId="0" applyFont="1" applyFill="1" applyBorder="1" applyAlignment="1" applyProtection="1">
      <alignment horizontal="center" vertical="center"/>
    </xf>
    <xf numFmtId="0" fontId="7" fillId="8" borderId="15" xfId="0" applyFont="1" applyFill="1" applyBorder="1" applyAlignment="1" applyProtection="1">
      <alignment horizontal="center" vertical="center"/>
    </xf>
    <xf numFmtId="0" fontId="9" fillId="10" borderId="13" xfId="0" applyFont="1" applyFill="1" applyBorder="1" applyAlignment="1" applyProtection="1">
      <alignment horizontal="center" vertical="center"/>
    </xf>
    <xf numFmtId="0" fontId="9" fillId="10" borderId="15" xfId="0" applyFont="1" applyFill="1" applyBorder="1" applyAlignment="1" applyProtection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176" fontId="7" fillId="7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176" fontId="7" fillId="7" borderId="9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3" borderId="0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0" fontId="0" fillId="0" borderId="26" xfId="0" applyBorder="1">
      <alignment vertical="center"/>
    </xf>
    <xf numFmtId="0" fontId="19" fillId="0" borderId="0" xfId="0" applyFont="1" applyAlignment="1">
      <alignment horizontal="center" vertical="center"/>
    </xf>
    <xf numFmtId="0" fontId="19" fillId="12" borderId="8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10" xfId="0" applyFont="1" applyBorder="1">
      <alignment vertical="center"/>
    </xf>
    <xf numFmtId="0" fontId="22" fillId="0" borderId="8" xfId="0" applyFont="1" applyBorder="1" applyAlignment="1">
      <alignment horizontal="center" vertical="center"/>
    </xf>
    <xf numFmtId="0" fontId="21" fillId="15" borderId="9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21" fillId="15" borderId="17" xfId="0" applyFont="1" applyFill="1" applyBorder="1" applyAlignment="1">
      <alignment horizontal="center" vertical="center"/>
    </xf>
    <xf numFmtId="0" fontId="21" fillId="0" borderId="12" xfId="0" applyFont="1" applyBorder="1">
      <alignment vertical="center"/>
    </xf>
    <xf numFmtId="0" fontId="25" fillId="0" borderId="0" xfId="0" applyFon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5" fillId="7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4" fillId="2" borderId="0" xfId="0" applyFont="1" applyFill="1">
      <alignment vertical="center"/>
    </xf>
    <xf numFmtId="0" fontId="0" fillId="2" borderId="0" xfId="0" applyFill="1">
      <alignment vertical="center"/>
    </xf>
    <xf numFmtId="0" fontId="26" fillId="0" borderId="0" xfId="0" applyFont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21" fillId="0" borderId="0" xfId="0" applyFont="1" applyAlignment="1">
      <alignment horizontal="left" vertical="center"/>
    </xf>
    <xf numFmtId="0" fontId="24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31" xfId="0" applyBorder="1">
      <alignment vertical="center"/>
    </xf>
    <xf numFmtId="0" fontId="21" fillId="0" borderId="2" xfId="0" applyFont="1" applyBorder="1">
      <alignment vertical="center"/>
    </xf>
    <xf numFmtId="0" fontId="21" fillId="7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>
      <alignment vertical="center"/>
    </xf>
    <xf numFmtId="0" fontId="0" fillId="0" borderId="5" xfId="0" applyBorder="1">
      <alignment vertical="center"/>
    </xf>
    <xf numFmtId="0" fontId="21" fillId="9" borderId="2" xfId="0" applyFont="1" applyFill="1" applyBorder="1">
      <alignment vertical="center"/>
    </xf>
    <xf numFmtId="0" fontId="0" fillId="9" borderId="0" xfId="0" applyFill="1" applyBorder="1">
      <alignment vertical="center"/>
    </xf>
    <xf numFmtId="0" fontId="21" fillId="9" borderId="0" xfId="0" applyFont="1" applyFill="1" applyBorder="1">
      <alignment vertical="center"/>
    </xf>
    <xf numFmtId="0" fontId="21" fillId="0" borderId="5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1" fillId="7" borderId="7" xfId="0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7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7" fillId="0" borderId="12" xfId="0" applyFont="1" applyFill="1" applyBorder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4" fillId="0" borderId="0" xfId="0" applyFont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0" fontId="21" fillId="0" borderId="0" xfId="0" applyFont="1" applyFill="1">
      <alignment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4" fillId="2" borderId="8" xfId="0" applyFont="1" applyFill="1" applyBorder="1">
      <alignment vertical="center"/>
    </xf>
    <xf numFmtId="0" fontId="0" fillId="2" borderId="0" xfId="0" applyFill="1" applyBorder="1">
      <alignment vertical="center"/>
    </xf>
    <xf numFmtId="0" fontId="27" fillId="2" borderId="0" xfId="0" applyFont="1" applyFill="1" applyBorder="1">
      <alignment vertical="center"/>
    </xf>
    <xf numFmtId="0" fontId="24" fillId="2" borderId="0" xfId="0" applyFont="1" applyFill="1" applyBorder="1">
      <alignment vertical="center"/>
    </xf>
    <xf numFmtId="0" fontId="21" fillId="0" borderId="0" xfId="0" applyFont="1" applyBorder="1" applyAlignment="1">
      <alignment horizontal="left" vertical="center"/>
    </xf>
    <xf numFmtId="0" fontId="0" fillId="7" borderId="0" xfId="0" applyFill="1">
      <alignment vertical="center"/>
    </xf>
    <xf numFmtId="0" fontId="28" fillId="0" borderId="0" xfId="0" applyFont="1" applyFill="1">
      <alignment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30" fillId="0" borderId="0" xfId="0" applyFont="1" applyFill="1">
      <alignment vertical="center"/>
    </xf>
    <xf numFmtId="0" fontId="31" fillId="0" borderId="0" xfId="0" applyFont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 wrapText="1"/>
    </xf>
    <xf numFmtId="0" fontId="29" fillId="2" borderId="0" xfId="0" applyFont="1" applyFill="1">
      <alignment vertical="center"/>
    </xf>
    <xf numFmtId="0" fontId="7" fillId="7" borderId="0" xfId="0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2" borderId="0" xfId="0" applyFont="1" applyFill="1">
      <alignment vertical="center"/>
    </xf>
    <xf numFmtId="0" fontId="29" fillId="0" borderId="1" xfId="0" applyFont="1" applyBorder="1" applyAlignment="1">
      <alignment horizontal="center" vertical="center"/>
    </xf>
    <xf numFmtId="0" fontId="21" fillId="7" borderId="1" xfId="0" applyFont="1" applyFill="1" applyBorder="1">
      <alignment vertical="center"/>
    </xf>
    <xf numFmtId="0" fontId="21" fillId="0" borderId="1" xfId="0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1" xfId="0" applyFont="1" applyBorder="1">
      <alignment vertical="center"/>
    </xf>
    <xf numFmtId="0" fontId="21" fillId="4" borderId="0" xfId="0" applyFont="1" applyFill="1" applyAlignment="1">
      <alignment horizontal="center" vertical="center"/>
    </xf>
    <xf numFmtId="0" fontId="32" fillId="2" borderId="0" xfId="0" applyFont="1" applyFill="1">
      <alignment vertical="center"/>
    </xf>
    <xf numFmtId="0" fontId="21" fillId="4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16" borderId="11" xfId="0" applyFont="1" applyFill="1" applyBorder="1" applyAlignment="1">
      <alignment horizontal="center" vertical="center" wrapText="1"/>
    </xf>
    <xf numFmtId="0" fontId="21" fillId="16" borderId="17" xfId="0" applyFont="1" applyFill="1" applyBorder="1" applyAlignment="1">
      <alignment horizontal="center" vertical="center"/>
    </xf>
    <xf numFmtId="0" fontId="21" fillId="16" borderId="12" xfId="0" applyFont="1" applyFill="1" applyBorder="1" applyAlignment="1">
      <alignment horizontal="center" vertical="center"/>
    </xf>
    <xf numFmtId="0" fontId="21" fillId="16" borderId="15" xfId="0" applyFont="1" applyFill="1" applyBorder="1" applyAlignment="1">
      <alignment horizontal="center" vertical="center"/>
    </xf>
    <xf numFmtId="0" fontId="21" fillId="16" borderId="18" xfId="0" applyFont="1" applyFill="1" applyBorder="1" applyAlignment="1">
      <alignment horizontal="center" vertical="center"/>
    </xf>
    <xf numFmtId="0" fontId="21" fillId="16" borderId="16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1" fillId="16" borderId="13" xfId="0" applyFont="1" applyFill="1" applyBorder="1" applyAlignment="1">
      <alignment horizontal="center" vertical="center"/>
    </xf>
    <xf numFmtId="0" fontId="21" fillId="16" borderId="0" xfId="0" applyFont="1" applyFill="1" applyBorder="1" applyAlignment="1">
      <alignment horizontal="center" vertical="center"/>
    </xf>
    <xf numFmtId="0" fontId="21" fillId="16" borderId="14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14" borderId="11" xfId="0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24" xfId="0" applyFont="1" applyFill="1" applyBorder="1" applyAlignment="1">
      <alignment horizontal="center" vertical="center"/>
    </xf>
    <xf numFmtId="0" fontId="7" fillId="14" borderId="15" xfId="0" applyFont="1" applyFill="1" applyBorder="1" applyAlignment="1">
      <alignment horizontal="center" vertical="center"/>
    </xf>
    <xf numFmtId="0" fontId="7" fillId="14" borderId="25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/>
    </xf>
    <xf numFmtId="177" fontId="7" fillId="0" borderId="0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0C5F-C4EF-433C-84E8-C021594C5DA9}">
  <dimension ref="A1:V28"/>
  <sheetViews>
    <sheetView zoomScale="70" zoomScaleNormal="70" workbookViewId="0">
      <selection activeCell="A27" sqref="A27"/>
    </sheetView>
  </sheetViews>
  <sheetFormatPr defaultRowHeight="16.2" x14ac:dyDescent="0.3"/>
  <cols>
    <col min="1" max="1" width="34.44140625" style="6" customWidth="1"/>
    <col min="2" max="2" width="10.44140625" style="6" customWidth="1"/>
    <col min="3" max="4" width="12.77734375" style="6" customWidth="1"/>
    <col min="5" max="6" width="8.88671875" style="6"/>
    <col min="7" max="7" width="15.5546875" style="6" customWidth="1"/>
    <col min="8" max="8" width="10.44140625" style="6" customWidth="1"/>
    <col min="9" max="9" width="8.88671875" style="6"/>
    <col min="10" max="10" width="62.77734375" style="6" customWidth="1"/>
    <col min="11" max="11" width="20" style="6" customWidth="1"/>
    <col min="12" max="12" width="99" style="6" customWidth="1"/>
    <col min="13" max="13" width="99.88671875" style="6" customWidth="1"/>
    <col min="14" max="16384" width="8.88671875" style="6"/>
  </cols>
  <sheetData>
    <row r="1" spans="1:22" ht="30" x14ac:dyDescent="0.3">
      <c r="A1" s="217" t="s">
        <v>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</row>
    <row r="2" spans="1:22" ht="19.8" customHeight="1" x14ac:dyDescent="0.3">
      <c r="A2" s="221" t="s">
        <v>6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</row>
    <row r="3" spans="1:22" ht="19.8" customHeight="1" x14ac:dyDescent="0.3">
      <c r="A3" s="7" t="s">
        <v>8</v>
      </c>
      <c r="B3" s="7" t="s">
        <v>41</v>
      </c>
      <c r="C3" s="7" t="s">
        <v>42</v>
      </c>
      <c r="D3" s="8" t="s">
        <v>44</v>
      </c>
      <c r="E3" s="8" t="s">
        <v>9</v>
      </c>
      <c r="F3" s="8" t="s">
        <v>39</v>
      </c>
      <c r="G3" s="8" t="s">
        <v>18</v>
      </c>
      <c r="H3" s="8" t="s">
        <v>45</v>
      </c>
      <c r="I3" s="8" t="s">
        <v>32</v>
      </c>
      <c r="J3" s="8" t="s">
        <v>28</v>
      </c>
      <c r="K3" s="8" t="s">
        <v>40</v>
      </c>
      <c r="L3" s="8" t="s">
        <v>31</v>
      </c>
      <c r="M3" s="9" t="s">
        <v>43</v>
      </c>
      <c r="N3" s="10"/>
      <c r="O3" s="10"/>
      <c r="P3" s="10"/>
      <c r="Q3" s="10"/>
      <c r="R3" s="10"/>
      <c r="S3" s="10"/>
      <c r="T3" s="10"/>
      <c r="U3" s="10"/>
      <c r="V3" s="10"/>
    </row>
    <row r="4" spans="1:22" x14ac:dyDescent="0.3">
      <c r="A4" s="11" t="s">
        <v>0</v>
      </c>
      <c r="B4" s="12" t="s">
        <v>10</v>
      </c>
      <c r="C4" s="12" t="s">
        <v>34</v>
      </c>
      <c r="D4" s="3" t="s">
        <v>53</v>
      </c>
      <c r="E4" s="1">
        <v>4</v>
      </c>
      <c r="F4" s="1">
        <v>2</v>
      </c>
      <c r="G4" s="1" t="s">
        <v>54</v>
      </c>
      <c r="H4" s="26">
        <f>IF(G4="1:1",1,IF(G4="1:2",2,IF(G4="1:5",5,IF(G4="1:10",10,IF(G4="1:20",20,IF(G4="2:1",0.5,IF(G4="5:1",0.2,IF(G4="10:1",0.1))))))))</f>
        <v>5</v>
      </c>
      <c r="I4" s="1" t="s">
        <v>50</v>
      </c>
      <c r="J4" s="13" t="str">
        <f>TRIM(D4 &amp; " " &amp; TEXT(F4*0.6,"0.#") &amp; " mg in " &amp; TEXT(10/H4,"0.#") &amp; " cc " &amp; I4)</f>
        <v>Dopamine 1.2 mg in 2. cc D10W</v>
      </c>
      <c r="K4" s="1">
        <v>1</v>
      </c>
      <c r="L4" s="13" t="str">
        <f>TRIM(D4 &amp; " " &amp; TEXT(F4*0.6,"0.#") &amp; " mg in " &amp; TEXT(10/H4,"0.#") &amp; " cc " &amp; I4 &amp; ", run " &amp; TEXT(K4,"0.00") &amp; " mL/hr = " &amp; TEXT(K4*(F4*0.6)/(10/H4)*1000/60/F4,"0.000") &amp; " mcg/kg/min")</f>
        <v>Dopamine 1.2 mg in 2. cc D10W, run 1.00 mL/hr = 5.000 mcg/kg/min</v>
      </c>
      <c r="M4" s="13" t="str">
        <f>TRIM(D4 &amp; " " &amp; TEXT(F4*0.6*E4,"0.#") &amp; " mg in " &amp; TEXT(10/H4*E4,"0.#") &amp; " cc " &amp; I4 &amp; ", run " &amp; TEXT(K4,"0.00") &amp; " mL/hr = " &amp; TEXT(K4*(F4*0.6*E4)/(10/H4*E4)*1000/60/F4,"0.00") &amp; " mcg/kg/min")</f>
        <v>Dopamine 4.8 mg in 8. cc D10W, run 1.00 mL/hr = 5.00 mcg/kg/min</v>
      </c>
      <c r="N4" s="10"/>
      <c r="O4" s="10"/>
      <c r="P4" s="10"/>
      <c r="Q4" s="10"/>
      <c r="R4" s="10"/>
      <c r="S4" s="10"/>
      <c r="T4" s="10"/>
      <c r="U4" s="10"/>
      <c r="V4" s="10"/>
    </row>
    <row r="5" spans="1:22" x14ac:dyDescent="0.3">
      <c r="A5" s="11" t="s">
        <v>1</v>
      </c>
      <c r="B5" s="12" t="s">
        <v>11</v>
      </c>
      <c r="C5" s="12" t="s">
        <v>36</v>
      </c>
      <c r="D5" s="3" t="s">
        <v>52</v>
      </c>
      <c r="E5" s="1">
        <v>3</v>
      </c>
      <c r="F5" s="1">
        <v>1.53</v>
      </c>
      <c r="G5" s="1" t="s">
        <v>51</v>
      </c>
      <c r="H5" s="26">
        <f>IF(G5="1:1",1,IF(G5="1:2",2,IF(G5="1:5",5,IF(G5="1:10",10,IF(G5="1:20",20,IF(G5="2:1",0.5,IF(G5="5:1",0.2,IF(G5="10:1",0.1))))))))</f>
        <v>20</v>
      </c>
      <c r="I5" s="1" t="s">
        <v>35</v>
      </c>
      <c r="J5" s="13" t="str">
        <f>TRIM(D5 &amp; " " &amp; TEXT(F5*0.6,"0.#") &amp; " IU in " &amp; TEXT(10/H5,"0.#") &amp; " cc " &amp; I5)</f>
        <v>Vasopressin 0.9 IU in 0.5 cc D5W</v>
      </c>
      <c r="K5" s="1">
        <v>0.15</v>
      </c>
      <c r="L5" s="13" t="str">
        <f>TRIM(D5 &amp; " " &amp; TEXT(F5*0.6,"0.#") &amp; " IU in " &amp; TEXT(10/H5,"0.#") &amp; " cc " &amp; I5 &amp; ", run " &amp; TEXT(K5,"0.00") &amp; " mL/hr = " &amp; TEXT(K5*(F5*0.6)/(10/H5)*1000/60/F5,"0.000") &amp; " mIU/kg/min")</f>
        <v>Vasopressin 0.9 IU in 0.5 cc D5W, run 0.15 mL/hr = 3.000 mIU/kg/min</v>
      </c>
      <c r="M5" s="13" t="str">
        <f>TRIM(D5 &amp; " " &amp; TEXT(F5*0.6*E5,"0.#") &amp; " IU in " &amp; TEXT(10/H5*E5,"0.#") &amp; " cc " &amp; I5 &amp; ", run " &amp; TEXT(K5,"0.00") &amp; " mL/hr = " &amp; TEXT(K5*(F5*0.6*E5)/(10/H5*E5)*1000/60/F5,"0.00") &amp; " mIU/kg/min")</f>
        <v>Vasopressin 2.8 IU in 1.5 cc D5W, run 0.15 mL/hr = 3.00 mIU/kg/min</v>
      </c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3">
      <c r="A6" s="11" t="s">
        <v>2</v>
      </c>
      <c r="B6" s="12" t="s">
        <v>12</v>
      </c>
      <c r="C6" s="12" t="s">
        <v>37</v>
      </c>
      <c r="D6" s="14"/>
      <c r="E6" s="15"/>
      <c r="F6" s="16"/>
      <c r="G6" s="15"/>
      <c r="H6" s="15"/>
      <c r="I6" s="15"/>
      <c r="J6" s="15"/>
      <c r="K6" s="15"/>
      <c r="L6" s="15"/>
      <c r="M6" s="15"/>
      <c r="N6" s="10"/>
      <c r="O6" s="10"/>
      <c r="P6" s="10"/>
      <c r="Q6" s="10"/>
      <c r="R6" s="10"/>
      <c r="S6" s="10"/>
      <c r="T6" s="10"/>
      <c r="U6" s="10"/>
      <c r="V6" s="10"/>
    </row>
    <row r="7" spans="1:22" x14ac:dyDescent="0.3">
      <c r="A7" s="11" t="s">
        <v>3</v>
      </c>
      <c r="B7" s="12" t="s">
        <v>13</v>
      </c>
      <c r="C7" s="12" t="s">
        <v>38</v>
      </c>
      <c r="D7" s="14"/>
      <c r="E7" s="15"/>
      <c r="F7" s="16"/>
      <c r="G7" s="15"/>
      <c r="H7" s="15"/>
      <c r="I7" s="15"/>
      <c r="J7" s="16"/>
      <c r="K7" s="15"/>
      <c r="L7" s="16"/>
      <c r="M7" s="15"/>
      <c r="N7" s="10"/>
      <c r="O7" s="10"/>
      <c r="P7" s="10"/>
      <c r="Q7" s="10"/>
      <c r="R7" s="10"/>
      <c r="S7" s="10"/>
      <c r="T7" s="10"/>
      <c r="U7" s="10"/>
      <c r="V7" s="10"/>
    </row>
    <row r="8" spans="1:22" x14ac:dyDescent="0.3">
      <c r="A8" s="11" t="s">
        <v>4</v>
      </c>
      <c r="B8" s="12" t="s">
        <v>14</v>
      </c>
      <c r="C8" s="12"/>
      <c r="D8" s="14"/>
      <c r="E8" s="15"/>
      <c r="F8" s="16"/>
      <c r="G8" s="15"/>
      <c r="H8" s="15"/>
      <c r="I8" s="15"/>
      <c r="J8" s="16"/>
      <c r="K8" s="15"/>
      <c r="L8" s="16"/>
      <c r="M8" s="15"/>
      <c r="N8" s="10"/>
      <c r="O8" s="10"/>
      <c r="P8" s="10"/>
      <c r="Q8" s="10"/>
      <c r="R8" s="10"/>
      <c r="S8" s="10"/>
      <c r="T8" s="10"/>
      <c r="U8" s="10"/>
      <c r="V8" s="10"/>
    </row>
    <row r="9" spans="1:22" x14ac:dyDescent="0.3">
      <c r="A9" s="11" t="s">
        <v>70</v>
      </c>
      <c r="B9" s="12" t="s">
        <v>15</v>
      </c>
      <c r="C9" s="12"/>
      <c r="D9" s="14"/>
      <c r="E9" s="15"/>
      <c r="F9" s="16"/>
      <c r="G9" s="15"/>
      <c r="H9" s="15"/>
      <c r="I9" s="15"/>
      <c r="J9" s="16"/>
      <c r="K9" s="15"/>
      <c r="L9" s="16"/>
      <c r="M9" s="15"/>
      <c r="N9" s="10"/>
      <c r="O9" s="10"/>
      <c r="P9" s="10"/>
      <c r="Q9" s="10"/>
      <c r="R9" s="10"/>
      <c r="S9" s="10"/>
      <c r="T9" s="10"/>
      <c r="U9" s="10"/>
      <c r="V9" s="10"/>
    </row>
    <row r="10" spans="1:22" x14ac:dyDescent="0.3">
      <c r="A10" s="11"/>
      <c r="B10" s="12" t="s">
        <v>16</v>
      </c>
      <c r="C10" s="12"/>
      <c r="D10" s="14"/>
      <c r="E10" s="15"/>
      <c r="F10" s="16"/>
      <c r="G10" s="15"/>
      <c r="H10" s="15"/>
      <c r="I10" s="15"/>
      <c r="J10" s="16"/>
      <c r="K10" s="15"/>
      <c r="L10" s="16"/>
      <c r="M10" s="15"/>
      <c r="N10" s="10"/>
      <c r="O10" s="10"/>
      <c r="P10" s="10"/>
      <c r="Q10" s="10"/>
      <c r="R10" s="10"/>
      <c r="S10" s="10"/>
      <c r="T10" s="10"/>
      <c r="U10" s="10"/>
      <c r="V10" s="10"/>
    </row>
    <row r="11" spans="1:22" x14ac:dyDescent="0.3">
      <c r="A11" s="11"/>
      <c r="B11" s="12" t="s">
        <v>17</v>
      </c>
      <c r="C11" s="12"/>
      <c r="D11" s="14"/>
      <c r="E11" s="15"/>
      <c r="F11" s="16"/>
      <c r="G11" s="15"/>
      <c r="H11" s="15"/>
      <c r="I11" s="15"/>
      <c r="J11" s="16"/>
      <c r="K11" s="15"/>
      <c r="L11" s="16"/>
      <c r="M11" s="15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26.4" x14ac:dyDescent="0.3">
      <c r="A12" s="219" t="s">
        <v>22</v>
      </c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</row>
    <row r="13" spans="1:22" ht="19.8" x14ac:dyDescent="0.3">
      <c r="A13" s="7" t="s">
        <v>8</v>
      </c>
      <c r="B13" s="7" t="s">
        <v>18</v>
      </c>
      <c r="C13" s="7" t="s">
        <v>33</v>
      </c>
      <c r="D13" s="8" t="s">
        <v>44</v>
      </c>
      <c r="E13" s="8" t="s">
        <v>9</v>
      </c>
      <c r="F13" s="8" t="s">
        <v>29</v>
      </c>
      <c r="G13" s="8" t="s">
        <v>18</v>
      </c>
      <c r="H13" s="8" t="s">
        <v>45</v>
      </c>
      <c r="I13" s="8" t="s">
        <v>32</v>
      </c>
      <c r="J13" s="8" t="s">
        <v>28</v>
      </c>
      <c r="K13" s="8" t="s">
        <v>30</v>
      </c>
      <c r="L13" s="8" t="s">
        <v>31</v>
      </c>
      <c r="M13" s="9" t="s">
        <v>43</v>
      </c>
    </row>
    <row r="14" spans="1:22" x14ac:dyDescent="0.3">
      <c r="A14" s="17" t="s">
        <v>23</v>
      </c>
      <c r="B14" s="12" t="s">
        <v>10</v>
      </c>
      <c r="C14" s="12" t="s">
        <v>34</v>
      </c>
      <c r="D14" s="4" t="s">
        <v>47</v>
      </c>
      <c r="E14" s="5">
        <v>2</v>
      </c>
      <c r="F14" s="2">
        <v>1.5</v>
      </c>
      <c r="G14" s="2" t="s">
        <v>46</v>
      </c>
      <c r="H14" s="18">
        <f>IF(G14="1:1",1,IF(G14="1:2",2,IF(G14="1:5",5,IF(G14="1:10",10,IF(G14="1:20",20,IF(G14="2:1",0.5,IF(G14="5:1",0.2,IF(G14="10:1",0.1))))))))</f>
        <v>0.1</v>
      </c>
      <c r="I14" s="2" t="s">
        <v>48</v>
      </c>
      <c r="J14" s="18" t="str">
        <f>TRIM(D14 &amp; " " &amp; TEXT(F14*0.6,"0.#") &amp; " mg in " &amp; TEXT(10/H14,"0.#") &amp; " cc " &amp; I14)</f>
        <v>Midazolam 0.9 mg in 100. cc NS</v>
      </c>
      <c r="K14" s="2">
        <v>0.1</v>
      </c>
      <c r="L14" s="18" t="str">
        <f>TRIM(D14 &amp; " " &amp; TEXT(F14*0.6,"0.#") &amp; " mg in " &amp; TEXT(10/H14,"0.#") &amp; " cc " &amp; I14 &amp; ", run " &amp; TEXT(K14,"0.0") &amp; " mL/hr = " &amp; TEXT(K14*(F14*0.6)/(10/H14)*1000/60/F14,"0.000") &amp; " mcg/kg/min")</f>
        <v>Midazolam 0.9 mg in 100. cc NS, run 0.1 mL/hr = 0.010 mcg/kg/min</v>
      </c>
      <c r="M14" s="18" t="str">
        <f>TRIM(D14 &amp; " " &amp; TEXT(F14*0.6*E14,"0.#") &amp; " mg in " &amp; TEXT(10/H14*E14,"0.#") &amp; " cc " &amp; I14 &amp; ", run " &amp; TEXT(K14,"0.0") &amp; " mL/hr = " &amp; TEXT(K14*(F14*0.6*E14)/(10/H14*E14)*1000/60/F14,"0.00") &amp; " mcg/kg/min")</f>
        <v>Midazolam 1.8 mg in 200. cc NS, run 0.1 mL/hr = 0.01 mcg/kg/min</v>
      </c>
    </row>
    <row r="15" spans="1:22" ht="19.8" x14ac:dyDescent="0.3">
      <c r="A15" s="17" t="s">
        <v>24</v>
      </c>
      <c r="B15" s="12" t="s">
        <v>11</v>
      </c>
      <c r="C15" s="12" t="s">
        <v>36</v>
      </c>
      <c r="D15" s="14"/>
      <c r="E15" s="19"/>
      <c r="F15" s="20"/>
      <c r="G15" s="20"/>
      <c r="H15" s="20"/>
      <c r="I15" s="20"/>
      <c r="J15" s="20"/>
      <c r="K15" s="20"/>
      <c r="L15" s="20"/>
    </row>
    <row r="16" spans="1:22" ht="19.8" x14ac:dyDescent="0.3">
      <c r="A16" s="17" t="s">
        <v>25</v>
      </c>
      <c r="B16" s="12" t="s">
        <v>12</v>
      </c>
      <c r="C16" s="12" t="s">
        <v>37</v>
      </c>
      <c r="D16" s="14"/>
      <c r="E16" s="19"/>
      <c r="F16" s="20"/>
      <c r="G16" s="20"/>
      <c r="H16" s="20"/>
      <c r="I16" s="20"/>
      <c r="J16" s="20"/>
      <c r="K16" s="20"/>
      <c r="L16" s="20"/>
    </row>
    <row r="17" spans="1:13" ht="19.8" x14ac:dyDescent="0.3">
      <c r="A17" s="17" t="s">
        <v>26</v>
      </c>
      <c r="B17" s="12" t="s">
        <v>13</v>
      </c>
      <c r="C17" s="12" t="s">
        <v>38</v>
      </c>
      <c r="D17" s="14"/>
      <c r="E17" s="19"/>
      <c r="F17" s="20"/>
      <c r="G17" s="20"/>
      <c r="H17" s="20"/>
      <c r="I17" s="20"/>
      <c r="J17" s="20"/>
      <c r="K17" s="20"/>
      <c r="L17" s="20"/>
    </row>
    <row r="18" spans="1:13" ht="19.8" x14ac:dyDescent="0.3">
      <c r="A18" s="17" t="s">
        <v>27</v>
      </c>
      <c r="B18" s="12" t="s">
        <v>14</v>
      </c>
      <c r="C18" s="12"/>
      <c r="D18" s="14"/>
      <c r="E18" s="19"/>
      <c r="F18" s="20"/>
      <c r="G18" s="20"/>
      <c r="H18" s="20"/>
      <c r="I18" s="20"/>
      <c r="J18" s="20"/>
      <c r="K18" s="20"/>
      <c r="L18" s="20"/>
    </row>
    <row r="19" spans="1:13" ht="19.8" x14ac:dyDescent="0.3">
      <c r="A19" s="7"/>
      <c r="B19" s="12" t="s">
        <v>15</v>
      </c>
      <c r="C19" s="12"/>
      <c r="D19" s="14"/>
      <c r="E19" s="19"/>
      <c r="F19" s="20"/>
      <c r="G19" s="20"/>
      <c r="H19" s="20"/>
      <c r="I19" s="20"/>
      <c r="J19" s="20"/>
      <c r="K19" s="20"/>
      <c r="L19" s="20"/>
    </row>
    <row r="20" spans="1:13" ht="19.8" x14ac:dyDescent="0.3">
      <c r="A20" s="7"/>
      <c r="B20" s="12" t="s">
        <v>16</v>
      </c>
      <c r="C20" s="12"/>
      <c r="D20" s="14"/>
      <c r="E20" s="19"/>
      <c r="F20" s="20"/>
      <c r="G20" s="20"/>
      <c r="H20" s="20"/>
      <c r="I20" s="20"/>
      <c r="J20" s="20"/>
      <c r="K20" s="20"/>
      <c r="L20" s="20"/>
    </row>
    <row r="21" spans="1:13" ht="19.8" x14ac:dyDescent="0.3">
      <c r="A21" s="7"/>
      <c r="B21" s="12" t="s">
        <v>17</v>
      </c>
      <c r="C21" s="12"/>
      <c r="D21" s="14"/>
      <c r="E21" s="19"/>
      <c r="F21" s="20"/>
      <c r="G21" s="20"/>
      <c r="H21" s="20"/>
      <c r="I21" s="20"/>
      <c r="J21" s="20"/>
      <c r="K21" s="20"/>
      <c r="L21" s="20"/>
    </row>
    <row r="22" spans="1:13" ht="21.6" customHeight="1" x14ac:dyDescent="0.3">
      <c r="A22" s="220" t="s">
        <v>7</v>
      </c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</row>
    <row r="23" spans="1:13" s="22" customFormat="1" ht="19.8" x14ac:dyDescent="0.3">
      <c r="A23" s="30" t="s">
        <v>8</v>
      </c>
      <c r="B23" s="30" t="s">
        <v>18</v>
      </c>
      <c r="C23" s="30" t="s">
        <v>33</v>
      </c>
      <c r="D23" s="30"/>
      <c r="E23" s="30" t="s">
        <v>9</v>
      </c>
      <c r="F23" s="30" t="s">
        <v>29</v>
      </c>
      <c r="G23" s="30" t="s">
        <v>18</v>
      </c>
      <c r="H23" s="30" t="s">
        <v>45</v>
      </c>
      <c r="I23" s="30" t="s">
        <v>32</v>
      </c>
      <c r="J23" s="30" t="s">
        <v>28</v>
      </c>
      <c r="K23" s="30" t="s">
        <v>30</v>
      </c>
      <c r="L23" s="30" t="s">
        <v>31</v>
      </c>
      <c r="M23" s="21" t="s">
        <v>43</v>
      </c>
    </row>
    <row r="24" spans="1:13" s="22" customFormat="1" x14ac:dyDescent="0.3">
      <c r="A24" s="27" t="s">
        <v>19</v>
      </c>
      <c r="B24" s="31"/>
      <c r="C24" s="28" t="s">
        <v>34</v>
      </c>
      <c r="D24" s="28"/>
      <c r="E24" s="27">
        <v>2</v>
      </c>
      <c r="F24" s="27">
        <v>1.5</v>
      </c>
      <c r="G24" s="28" t="s">
        <v>17</v>
      </c>
      <c r="H24" s="27">
        <v>0.1</v>
      </c>
      <c r="I24" s="27" t="s">
        <v>48</v>
      </c>
      <c r="J24" s="32" t="str">
        <f>TRIM(A24 &amp; " " &amp; TEXT(F24*0.6, "0.0") &amp; " units in " &amp; TEXT(10/H24, "0.0") &amp; " cc " &amp; I24)</f>
        <v>Vasopressin-Diabetes insipidus 0.9 units in 100.0 cc NS</v>
      </c>
      <c r="K24" s="27">
        <v>0.1</v>
      </c>
      <c r="L24" s="32" t="str">
        <f>TRIM(A24 &amp; " " &amp; TEXT(F24*0.6, "0.0") &amp; " units in " &amp; TEXT(10/H24, "0.0") &amp; " cc " &amp; I24 &amp; ", run " &amp; K24 &amp; " ml/hr = " &amp; TEXT(K24*(F24*0.6)/(10/H24)*1000/60/F24, "0.000") &amp; " milliunits/kg/min")</f>
        <v>Vasopressin-Diabetes insipidus 0.9 units in 100.0 cc NS, run 0.1 ml/hr = 0.010 milliunits/kg/min</v>
      </c>
      <c r="M24" s="24" t="str">
        <f>TRIM(A24 &amp; " " &amp; TEXT(F24*0.6*E24, "0.0") &amp; " units in " &amp; TEXT(10/(H24*E24), "0.0") &amp; " cc " &amp; I24 &amp; ", run " &amp; K24 &amp; " ml/hr = " &amp; TEXT(K24*(F24*0.6*E24)/(10/(H24*E24))*1000/60/F24, "0.00") &amp; " milliunits/kg/min")</f>
        <v>Vasopressin-Diabetes insipidus 1.8 units in 50.0 cc NS, run 0.1 ml/hr = 0.04 milliunits/kg/min</v>
      </c>
    </row>
    <row r="25" spans="1:13" s="22" customFormat="1" x14ac:dyDescent="0.3">
      <c r="A25" s="27" t="s">
        <v>20</v>
      </c>
      <c r="B25" s="31"/>
      <c r="C25" s="28" t="s">
        <v>36</v>
      </c>
      <c r="D25" s="28"/>
      <c r="E25" s="27">
        <v>2</v>
      </c>
      <c r="F25" s="27">
        <v>1.5</v>
      </c>
      <c r="G25" s="28" t="s">
        <v>17</v>
      </c>
      <c r="H25" s="27">
        <v>0.1</v>
      </c>
      <c r="I25" s="27" t="s">
        <v>50</v>
      </c>
      <c r="J25" s="27" t="str">
        <f>TRIM(A25 &amp; " " &amp; TEXT(1*F25,"0.0") &amp; " units in 10mL " &amp; I25)</f>
        <v>Regular insulin 1.5 units in 10mL D10W</v>
      </c>
      <c r="K25" s="27">
        <v>1</v>
      </c>
      <c r="L25" s="27" t="str">
        <f>TRIM(A25 &amp; " " &amp; TEXT(1*F25,"0.0") &amp; " units in 10mL " &amp; I25 &amp; ", run " &amp; TEXT(K25,"0.00") &amp; " mL/hr = " &amp; TEXT((1*F25*K25/10/F25),"0.00") &amp; " units/kg/hr")</f>
        <v>Regular insulin 1.5 units in 10mL D10W, run 1.00 mL/hr = 0.10 units/kg/hr</v>
      </c>
      <c r="M25" s="23" t="str">
        <f>TRIM(A25 &amp; " " &amp; TEXT(1*F25*E25, "0.0") &amp; " units in " &amp; TEXT(10*E25, "0.0") &amp; "mL " &amp; I25 &amp; ", run " &amp; TEXT(K25, "0.00") &amp; " mL/hr = " &amp; TEXT((1*F25*E25*K25/F25)/(10*E25), "0.00") &amp; " units/kg/hr")</f>
        <v>Regular insulin 3.0 units in 20.0mL D10W, run 1.00 mL/hr = 0.10 units/kg/hr</v>
      </c>
    </row>
    <row r="26" spans="1:13" s="22" customFormat="1" x14ac:dyDescent="0.3">
      <c r="A26" s="27" t="s">
        <v>21</v>
      </c>
      <c r="B26" s="31"/>
      <c r="C26" s="28" t="s">
        <v>37</v>
      </c>
      <c r="D26" s="28"/>
      <c r="E26" s="27">
        <v>2</v>
      </c>
      <c r="F26" s="27">
        <v>1.5</v>
      </c>
      <c r="G26" s="28" t="s">
        <v>13</v>
      </c>
      <c r="H26" s="27">
        <v>10</v>
      </c>
      <c r="I26" s="28" t="s">
        <v>37</v>
      </c>
      <c r="J26" s="27" t="str">
        <f>TRIM(A26 &amp; " 1amp in " &amp; TEXT(200/F26/6, "0.0") &amp; " mL " &amp; I26)</f>
        <v>Prostaglandin E1 1amp in 22.2 mL D10W</v>
      </c>
      <c r="K26" s="27">
        <v>0.2</v>
      </c>
      <c r="L26" s="27" t="str">
        <f>TRIM(A26 &amp; " 1amp in " &amp; TEXT(200/F26/6, "0.0") &amp; " mL " &amp; I26 &amp; ", run " &amp; TEXT(K26, "0.0") &amp; " mL/hr = " &amp; TEXT((20000 / (200/F26/6) * K26 / 60 / F26), "0.0") &amp; " ng/kg/min")</f>
        <v>Prostaglandin E1 1amp in 22.2 mL D10W, run 0.2 mL/hr = 2.0 ng/kg/min</v>
      </c>
      <c r="M26" s="23" t="str">
        <f>TRIM(A26 &amp; " " &amp; TEXT(1*E26, "0.0") &amp; " amp in " &amp; TEXT(200/F26/6*E26, "0.0") &amp; " mL " &amp; I26 &amp; ", run " &amp; TEXT(K26, "0.0") &amp; " mL/hr = " &amp; TEXT((20000 * E26 / (200/F26/6*E26 ) * K26 / 60 / F26), "0.0") &amp; " ng/kg/min")</f>
        <v>Prostaglandin E1 2.0 amp in 44.4 mL D10W, run 0.2 mL/hr = 2.0 ng/kg/min</v>
      </c>
    </row>
    <row r="27" spans="1:13" s="22" customFormat="1" x14ac:dyDescent="0.3">
      <c r="A27" s="27" t="s">
        <v>49</v>
      </c>
      <c r="B27" s="33"/>
      <c r="C27" s="28" t="s">
        <v>38</v>
      </c>
      <c r="D27" s="28"/>
      <c r="E27" s="27"/>
      <c r="F27" s="27"/>
      <c r="G27" s="27"/>
      <c r="H27" s="27"/>
      <c r="I27" s="27"/>
      <c r="J27" s="27"/>
      <c r="K27" s="27"/>
      <c r="L27" s="27"/>
      <c r="M27" s="23"/>
    </row>
    <row r="28" spans="1:13" x14ac:dyDescent="0.3">
      <c r="A28" s="25"/>
    </row>
  </sheetData>
  <mergeCells count="4">
    <mergeCell ref="A1:M1"/>
    <mergeCell ref="A12:L12"/>
    <mergeCell ref="A22:L22"/>
    <mergeCell ref="A2:M2"/>
  </mergeCells>
  <phoneticPr fontId="1" type="noConversion"/>
  <dataValidations count="8">
    <dataValidation type="list" allowBlank="1" showInputMessage="1" showErrorMessage="1" sqref="I4:I5" xr:uid="{EBAA841F-6A78-4E77-80E8-630E7CB14D34}">
      <formula1>$C$4:$C$7</formula1>
    </dataValidation>
    <dataValidation type="list" allowBlank="1" showInputMessage="1" showErrorMessage="1" sqref="G4:G5" xr:uid="{C1FAEB2A-2ADF-4358-B577-01A4C6114D36}">
      <formula1>$B$4:$B$11</formula1>
    </dataValidation>
    <dataValidation type="list" allowBlank="1" showInputMessage="1" showErrorMessage="1" sqref="D5" xr:uid="{5D2574FA-44D5-4536-838E-CBBFE23713FB}">
      <formula1>$A$9</formula1>
    </dataValidation>
    <dataValidation type="list" allowBlank="1" showInputMessage="1" showErrorMessage="1" sqref="D14" xr:uid="{76C112E9-67B0-4BC4-9D91-12B84622949B}">
      <formula1>$A$14:$A$18</formula1>
    </dataValidation>
    <dataValidation type="list" allowBlank="1" showInputMessage="1" showErrorMessage="1" sqref="G14" xr:uid="{62E41689-96D4-4C7C-B8C4-44FEC2A1EBFC}">
      <formula1>$B$14:$B$21</formula1>
    </dataValidation>
    <dataValidation type="list" allowBlank="1" showInputMessage="1" showErrorMessage="1" sqref="I14" xr:uid="{1F148EA3-F43F-418B-A47A-FFE1236DD428}">
      <formula1>$C$14:$C$17</formula1>
    </dataValidation>
    <dataValidation type="list" allowBlank="1" showInputMessage="1" showErrorMessage="1" sqref="I24:I25 I27" xr:uid="{DB651C7F-41AE-4A33-8BA4-4D8ABFCBDBEC}">
      <formula1>$C$24:$C$27</formula1>
    </dataValidation>
    <dataValidation type="list" allowBlank="1" showInputMessage="1" showErrorMessage="1" sqref="D4" xr:uid="{60F1862F-1810-4190-882A-E2ECEE7F5D57}">
      <formula1>$A$4:$A$8</formula1>
    </dataValidation>
  </dataValidation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D683-4667-40C3-967F-B62021FDB579}">
  <dimension ref="A1:AA37"/>
  <sheetViews>
    <sheetView tabSelected="1" zoomScale="70" zoomScaleNormal="70" workbookViewId="0">
      <selection activeCell="M1" sqref="M1"/>
    </sheetView>
  </sheetViews>
  <sheetFormatPr defaultRowHeight="16.2" x14ac:dyDescent="0.3"/>
  <cols>
    <col min="1" max="1" width="22.44140625" customWidth="1"/>
    <col min="3" max="3" width="11.5546875" customWidth="1"/>
    <col min="4" max="4" width="12.88671875" customWidth="1"/>
    <col min="5" max="5" width="5.5546875" customWidth="1"/>
    <col min="6" max="6" width="5.77734375" customWidth="1"/>
    <col min="7" max="7" width="4.44140625" customWidth="1"/>
    <col min="8" max="8" width="20.5546875" customWidth="1"/>
    <col min="9" max="9" width="8.44140625" customWidth="1"/>
    <col min="10" max="10" width="11.44140625" customWidth="1"/>
    <col min="11" max="11" width="10.77734375" customWidth="1"/>
    <col min="12" max="12" width="9.88671875" customWidth="1"/>
    <col min="13" max="13" width="11.33203125" customWidth="1"/>
    <col min="14" max="15" width="12.6640625" customWidth="1"/>
    <col min="16" max="16" width="11.5546875" customWidth="1"/>
    <col min="18" max="18" width="12.88671875" customWidth="1"/>
    <col min="20" max="20" width="10.6640625" customWidth="1"/>
    <col min="23" max="23" width="13.77734375" customWidth="1"/>
    <col min="24" max="24" width="9.109375" customWidth="1"/>
    <col min="25" max="25" width="7.33203125" customWidth="1"/>
    <col min="26" max="26" width="11" customWidth="1"/>
  </cols>
  <sheetData>
    <row r="1" spans="1:26" ht="22.2" customHeight="1" thickBot="1" x14ac:dyDescent="0.35">
      <c r="A1" s="41" t="s">
        <v>56</v>
      </c>
      <c r="B1" s="129">
        <v>1.88</v>
      </c>
      <c r="C1" s="42" t="s">
        <v>61</v>
      </c>
      <c r="E1" s="126" t="s">
        <v>126</v>
      </c>
      <c r="F1" s="129">
        <v>24</v>
      </c>
      <c r="G1" s="130" t="s">
        <v>127</v>
      </c>
      <c r="H1" s="132">
        <v>6</v>
      </c>
      <c r="I1" s="133" t="s">
        <v>128</v>
      </c>
      <c r="K1" s="128" t="s">
        <v>129</v>
      </c>
      <c r="L1" s="129">
        <v>30</v>
      </c>
      <c r="M1" s="127" t="s">
        <v>130</v>
      </c>
      <c r="P1" s="141" t="s">
        <v>131</v>
      </c>
      <c r="Q1" s="131">
        <f>INT(((F1*7)+H1+L1)/7)</f>
        <v>29</v>
      </c>
      <c r="R1" s="130" t="s">
        <v>127</v>
      </c>
      <c r="S1" s="131">
        <f>MOD(((F1*7)+H1+L1), 7)</f>
        <v>1</v>
      </c>
      <c r="T1" s="127" t="s">
        <v>128</v>
      </c>
      <c r="W1" s="236" t="s">
        <v>97</v>
      </c>
      <c r="X1" s="236"/>
    </row>
    <row r="2" spans="1:26" ht="20.399999999999999" thickBot="1" x14ac:dyDescent="0.35">
      <c r="A2" s="227" t="s">
        <v>132</v>
      </c>
      <c r="B2" s="228"/>
      <c r="C2" s="229"/>
      <c r="H2" s="233" t="s">
        <v>150</v>
      </c>
      <c r="I2" s="234"/>
      <c r="J2" s="235"/>
      <c r="P2" s="172"/>
      <c r="Q2" s="227" t="s">
        <v>198</v>
      </c>
      <c r="R2" s="228"/>
      <c r="S2" s="228"/>
      <c r="T2" s="229"/>
      <c r="U2" s="78"/>
      <c r="V2" s="78"/>
      <c r="W2" s="237"/>
      <c r="X2" s="237"/>
      <c r="Y2" s="237"/>
      <c r="Z2" s="237"/>
    </row>
    <row r="3" spans="1:26" x14ac:dyDescent="0.3">
      <c r="A3" s="146" t="s">
        <v>133</v>
      </c>
      <c r="B3" s="134"/>
      <c r="C3" s="238" t="s">
        <v>137</v>
      </c>
      <c r="D3" s="134"/>
      <c r="H3" s="146" t="s">
        <v>49</v>
      </c>
      <c r="P3" s="78"/>
      <c r="Q3" s="182" t="s">
        <v>200</v>
      </c>
      <c r="R3" s="181"/>
      <c r="S3" s="78"/>
      <c r="T3" s="78"/>
      <c r="U3" s="78"/>
      <c r="V3" s="78"/>
      <c r="W3" s="78"/>
      <c r="X3" s="78"/>
      <c r="Y3" s="78"/>
      <c r="Z3" s="78"/>
    </row>
    <row r="4" spans="1:26" x14ac:dyDescent="0.3">
      <c r="A4" s="135" t="s">
        <v>148</v>
      </c>
      <c r="B4" s="138">
        <f>IF(OR(F1="", L1="", B1=""), "",
  IF((F1*7+H1) &lt;= 244,
    IF(L1 &lt;= 7, B1*50, B1*75 ),
    IF(L1 &lt;= 28, B1*50, "超過28天(請手動確認)")
  )
)</f>
        <v>141</v>
      </c>
      <c r="C4" s="239"/>
      <c r="D4" s="138" t="str">
        <f>IF((F1*7+H1)&lt;=244, "Q12H", "Q8H")</f>
        <v>Q12H</v>
      </c>
      <c r="H4" s="135" t="s">
        <v>151</v>
      </c>
      <c r="I4" s="139">
        <f>1*B1</f>
        <v>1.88</v>
      </c>
      <c r="J4" s="136" t="s">
        <v>137</v>
      </c>
      <c r="K4" s="149" t="s">
        <v>154</v>
      </c>
      <c r="L4" s="135" t="s">
        <v>228</v>
      </c>
      <c r="M4" s="78" t="s">
        <v>197</v>
      </c>
      <c r="N4" s="139">
        <f>I4/10</f>
        <v>0.188</v>
      </c>
      <c r="O4" s="158" t="s">
        <v>144</v>
      </c>
      <c r="P4" s="158"/>
      <c r="Q4" s="183" t="s">
        <v>199</v>
      </c>
      <c r="R4" s="157"/>
      <c r="S4" s="156">
        <f>15*B1</f>
        <v>28.2</v>
      </c>
      <c r="T4" s="142" t="s">
        <v>137</v>
      </c>
      <c r="U4" s="78"/>
      <c r="V4" s="158" t="s">
        <v>219</v>
      </c>
      <c r="W4" s="78"/>
      <c r="X4" s="78"/>
      <c r="Y4" s="78"/>
      <c r="Z4" s="78"/>
    </row>
    <row r="5" spans="1:26" x14ac:dyDescent="0.3">
      <c r="A5" s="135" t="s">
        <v>135</v>
      </c>
      <c r="B5" s="138">
        <f>IF(OR(B1="", L1=""), "", IF(L1&lt;=7, B1*100, B1*75))</f>
        <v>141</v>
      </c>
      <c r="C5" s="239"/>
      <c r="D5" s="138" t="str">
        <f>IF(L1="", "", IF(L1&lt;=7, "Q8H", "Q6H"))</f>
        <v>Q6H</v>
      </c>
      <c r="H5" s="135" t="s">
        <v>152</v>
      </c>
      <c r="I5" s="139">
        <f>1*B1</f>
        <v>1.88</v>
      </c>
      <c r="J5" s="136" t="s">
        <v>137</v>
      </c>
      <c r="K5" s="135" t="s">
        <v>153</v>
      </c>
      <c r="L5" s="135" t="s">
        <v>228</v>
      </c>
      <c r="P5" s="78"/>
      <c r="Q5" s="158" t="s">
        <v>201</v>
      </c>
      <c r="R5" s="78"/>
      <c r="S5" s="156">
        <f>3*B1</f>
        <v>5.64</v>
      </c>
      <c r="T5" s="142" t="s">
        <v>137</v>
      </c>
      <c r="U5" s="157" t="s">
        <v>147</v>
      </c>
      <c r="V5" s="158" t="s">
        <v>220</v>
      </c>
      <c r="W5" s="78"/>
      <c r="X5" s="78"/>
      <c r="Y5" s="78"/>
      <c r="Z5" s="78"/>
    </row>
    <row r="6" spans="1:26" x14ac:dyDescent="0.3">
      <c r="A6" s="135" t="s">
        <v>136</v>
      </c>
      <c r="B6" s="138">
        <f>B1*50</f>
        <v>94</v>
      </c>
      <c r="C6" s="239"/>
      <c r="D6" s="140" t="s">
        <v>268</v>
      </c>
      <c r="H6" s="146" t="s">
        <v>155</v>
      </c>
      <c r="I6" s="135"/>
      <c r="J6" s="135"/>
      <c r="K6" s="135"/>
      <c r="P6" s="78"/>
      <c r="Q6" s="182" t="s">
        <v>202</v>
      </c>
      <c r="R6" s="181"/>
      <c r="S6" s="78"/>
      <c r="T6" s="78"/>
      <c r="U6" s="158"/>
      <c r="V6" s="78"/>
      <c r="W6" s="78"/>
      <c r="X6" s="78"/>
      <c r="Y6" s="78"/>
      <c r="Z6" s="78"/>
    </row>
    <row r="7" spans="1:26" x14ac:dyDescent="0.3">
      <c r="A7" s="146" t="s">
        <v>138</v>
      </c>
      <c r="B7" s="125"/>
      <c r="D7" s="137"/>
      <c r="H7" s="135" t="s">
        <v>156</v>
      </c>
      <c r="I7" s="139">
        <f>0.01*B1</f>
        <v>1.8800000000000001E-2</v>
      </c>
      <c r="J7" s="136" t="s">
        <v>137</v>
      </c>
      <c r="K7" s="135" t="s">
        <v>158</v>
      </c>
      <c r="L7" s="135" t="s">
        <v>226</v>
      </c>
      <c r="M7" s="135"/>
      <c r="N7" s="135"/>
      <c r="O7" s="135"/>
      <c r="P7" s="78"/>
      <c r="Q7" s="158" t="s">
        <v>146</v>
      </c>
      <c r="R7" s="78"/>
      <c r="S7" s="156">
        <f>20*B1</f>
        <v>37.599999999999994</v>
      </c>
      <c r="T7" s="142" t="s">
        <v>137</v>
      </c>
      <c r="U7" s="158"/>
      <c r="V7" s="158" t="s">
        <v>218</v>
      </c>
      <c r="W7" s="78"/>
      <c r="X7" s="78"/>
      <c r="Y7" s="78"/>
      <c r="Z7" s="78"/>
    </row>
    <row r="8" spans="1:26" ht="16.8" thickBot="1" x14ac:dyDescent="0.35">
      <c r="A8" s="135" t="s">
        <v>148</v>
      </c>
      <c r="B8" s="139" t="str">
        <f>IF(OR(B1="", L1=""), "",
  IF(B1&lt;=2,
    IF(L1&lt;=28, B1*50, "超過28天(請手動確認)"),
    IF(L1&lt;=7, B1*50, IF(L1&lt;=28, B1*37.5, IF(L1&lt;=60, B1*50, "超過60天(請手動確認)")))
  )
)</f>
        <v>超過28天(請手動確認)</v>
      </c>
      <c r="C8" s="223" t="s">
        <v>137</v>
      </c>
      <c r="D8" s="139" t="str">
        <f>IF(OR(B1="", L1=""), "",
  IF(B1&lt;=2,
    IF(L1&lt;=7, "Q12H", IF(L1&lt;=28, "Q8H", "確認醫囑")),
    IF(L1&lt;=7, "Q12H", IF(L1&lt;=28, "Q6H", IF(L1&lt;=60, "Q6H", "確認醫囑")))
  )
)</f>
        <v>確認醫囑</v>
      </c>
      <c r="H8" s="135" t="s">
        <v>157</v>
      </c>
      <c r="I8" s="139">
        <f>0.01*B1</f>
        <v>1.8800000000000001E-2</v>
      </c>
      <c r="J8" s="136" t="s">
        <v>137</v>
      </c>
      <c r="K8" s="151" t="s">
        <v>163</v>
      </c>
      <c r="L8" s="135" t="s">
        <v>227</v>
      </c>
      <c r="M8" s="135"/>
      <c r="N8" s="135"/>
      <c r="O8" s="135"/>
      <c r="P8" s="78"/>
      <c r="Q8" s="158" t="s">
        <v>201</v>
      </c>
      <c r="R8" s="78"/>
      <c r="S8" s="156">
        <f>10*B1</f>
        <v>18.799999999999997</v>
      </c>
      <c r="T8" s="142" t="s">
        <v>137</v>
      </c>
      <c r="U8" s="157" t="s">
        <v>145</v>
      </c>
      <c r="V8" s="158" t="s">
        <v>218</v>
      </c>
      <c r="W8" s="78"/>
      <c r="X8" s="78" t="s">
        <v>197</v>
      </c>
      <c r="Y8" s="156">
        <f>S8/100</f>
        <v>0.18799999999999997</v>
      </c>
      <c r="Z8" s="158" t="s">
        <v>144</v>
      </c>
    </row>
    <row r="9" spans="1:26" ht="20.399999999999999" thickBot="1" x14ac:dyDescent="0.35">
      <c r="A9" s="135" t="s">
        <v>135</v>
      </c>
      <c r="B9" s="139">
        <f>IF(OR(B1="", L1=""), "", B1*50)</f>
        <v>94</v>
      </c>
      <c r="C9" s="223"/>
      <c r="D9" s="139" t="str">
        <f>IF(L1="", "", IF(L1&lt;=7, "Q8H", "Q6H"))</f>
        <v>Q6H</v>
      </c>
      <c r="H9" s="152" t="s">
        <v>159</v>
      </c>
      <c r="I9" s="153"/>
      <c r="J9" s="153"/>
      <c r="K9" s="153"/>
      <c r="L9" s="153"/>
      <c r="M9" s="153"/>
      <c r="N9" s="154"/>
      <c r="O9" s="78"/>
      <c r="P9" s="78"/>
      <c r="Q9" s="233" t="s">
        <v>204</v>
      </c>
      <c r="R9" s="234"/>
      <c r="S9" s="234"/>
      <c r="T9" s="235"/>
      <c r="U9" s="78"/>
      <c r="V9" s="78"/>
      <c r="W9" s="78"/>
      <c r="X9" s="78"/>
      <c r="Y9" s="78"/>
      <c r="Z9" s="78"/>
    </row>
    <row r="10" spans="1:26" ht="16.8" thickBot="1" x14ac:dyDescent="0.35">
      <c r="A10" s="146" t="s">
        <v>139</v>
      </c>
      <c r="B10" s="125"/>
      <c r="D10" s="125"/>
      <c r="H10" s="155" t="s">
        <v>160</v>
      </c>
      <c r="I10" s="156">
        <f>1.5*B1</f>
        <v>2.82</v>
      </c>
      <c r="J10" s="157" t="s">
        <v>137</v>
      </c>
      <c r="K10" s="158" t="s">
        <v>145</v>
      </c>
      <c r="L10" s="78"/>
      <c r="M10" s="78"/>
      <c r="N10" s="159"/>
      <c r="O10" s="78"/>
      <c r="P10" s="78"/>
      <c r="Q10" s="182" t="s">
        <v>203</v>
      </c>
      <c r="R10" s="180"/>
      <c r="S10" s="156">
        <f>25*B1</f>
        <v>47</v>
      </c>
      <c r="T10" s="142" t="s">
        <v>137</v>
      </c>
      <c r="U10" s="78" t="s">
        <v>197</v>
      </c>
      <c r="V10" s="156">
        <f>S10/100</f>
        <v>0.47</v>
      </c>
      <c r="W10" s="158" t="s">
        <v>144</v>
      </c>
      <c r="X10" s="158" t="s">
        <v>217</v>
      </c>
      <c r="Y10" s="78"/>
      <c r="Z10" s="78"/>
    </row>
    <row r="11" spans="1:26" ht="20.399999999999999" thickBot="1" x14ac:dyDescent="0.35">
      <c r="A11" s="135" t="s">
        <v>134</v>
      </c>
      <c r="B11" s="139">
        <f>IF(OR(B1="", F1="", L1=""), "",
  IF((F1*7+H1)&lt;=209, B1*5,
    IF((F1*7+H1)&lt;=244, B1*5,
      IF(L1&lt;=7, B1*4, B1*5)
    )
  )
)</f>
        <v>9.3999999999999986</v>
      </c>
      <c r="C11" s="136" t="s">
        <v>137</v>
      </c>
      <c r="D11" s="139" t="str">
        <f>IF(OR(F1="", L1=""), "",
  IF((F1*7+H1)&lt;=209,
    IF(L1&lt;=14, "QOD", "Q36H"),
    IF((F1*7+H1)&lt;=244,
      IF(L1&lt;=10, "Q36H", "QD"),
      "QD"
    )
  )
)</f>
        <v>Q36H</v>
      </c>
      <c r="H11" s="155" t="s">
        <v>161</v>
      </c>
      <c r="I11" s="156">
        <f>1*B1</f>
        <v>1.88</v>
      </c>
      <c r="J11" s="157" t="s">
        <v>137</v>
      </c>
      <c r="K11" s="158" t="s">
        <v>162</v>
      </c>
      <c r="L11" s="158" t="s">
        <v>164</v>
      </c>
      <c r="M11" s="78"/>
      <c r="N11" s="159"/>
      <c r="O11" s="78"/>
      <c r="P11" s="78"/>
      <c r="Q11" s="227" t="s">
        <v>230</v>
      </c>
      <c r="R11" s="228"/>
      <c r="S11" s="228"/>
      <c r="T11" s="229"/>
      <c r="U11" s="78"/>
      <c r="V11" s="78"/>
      <c r="W11" s="78"/>
      <c r="X11" s="78"/>
      <c r="Y11" s="78"/>
      <c r="Z11" s="78"/>
    </row>
    <row r="12" spans="1:26" x14ac:dyDescent="0.3">
      <c r="A12" s="146" t="s">
        <v>140</v>
      </c>
      <c r="B12" s="125"/>
      <c r="H12" s="160" t="s">
        <v>169</v>
      </c>
      <c r="I12" s="161"/>
      <c r="J12" s="161"/>
      <c r="K12" s="161"/>
      <c r="L12" s="162" t="s">
        <v>166</v>
      </c>
      <c r="M12" s="216"/>
      <c r="N12" s="163" t="s">
        <v>167</v>
      </c>
      <c r="O12" s="157"/>
      <c r="P12" s="78"/>
      <c r="Q12" s="182" t="s">
        <v>206</v>
      </c>
      <c r="R12" s="174"/>
      <c r="S12" s="156">
        <f>B1*1</f>
        <v>1.88</v>
      </c>
      <c r="T12" s="186" t="s">
        <v>207</v>
      </c>
      <c r="U12" s="157" t="s">
        <v>147</v>
      </c>
      <c r="V12" s="174" t="s">
        <v>216</v>
      </c>
      <c r="W12" s="78"/>
      <c r="X12" s="78"/>
      <c r="Y12" s="78"/>
      <c r="Z12" s="78"/>
    </row>
    <row r="13" spans="1:26" ht="13.2" customHeight="1" x14ac:dyDescent="0.3">
      <c r="A13" s="135" t="s">
        <v>148</v>
      </c>
      <c r="B13" s="139">
        <f>IF(OR(B1="", L1=""), "",
  IF(L1&lt;=28,
    IF(B1&lt;=2, B1*25, B1*50),
    IF(L1&lt;=60, B1*150/4, "超過60天(請手動確認)")
  )
)</f>
        <v>70.5</v>
      </c>
      <c r="C13" s="136" t="s">
        <v>137</v>
      </c>
      <c r="D13" s="139" t="str">
        <f>IF(OR(B1="", L1=""), "",
  IF(L1&lt;=7, "Q12H",
    IF(L1&lt;=28, "Q8H",
      IF(L1&lt;=60, "Q6H", "確認醫囑")
    )
  )
)</f>
        <v>Q6H</v>
      </c>
      <c r="H13" s="164"/>
      <c r="I13" s="165"/>
      <c r="J13" s="165"/>
      <c r="K13" s="165"/>
      <c r="L13" s="168" t="s">
        <v>165</v>
      </c>
      <c r="M13" s="166">
        <f>M12/5</f>
        <v>0</v>
      </c>
      <c r="N13" s="167" t="s">
        <v>58</v>
      </c>
      <c r="O13" s="157"/>
      <c r="P13" s="78"/>
      <c r="Q13" s="182" t="s">
        <v>209</v>
      </c>
      <c r="R13" s="180"/>
      <c r="S13" s="156">
        <f>50*B1</f>
        <v>94</v>
      </c>
      <c r="T13" s="187" t="s">
        <v>210</v>
      </c>
      <c r="U13" s="174" t="s">
        <v>211</v>
      </c>
      <c r="V13" s="158" t="s">
        <v>215</v>
      </c>
      <c r="W13" s="173"/>
      <c r="X13" s="173"/>
      <c r="Y13" s="78"/>
      <c r="Z13" s="78"/>
    </row>
    <row r="14" spans="1:26" x14ac:dyDescent="0.3">
      <c r="A14" s="135" t="s">
        <v>141</v>
      </c>
      <c r="B14" s="139">
        <f>B1*30</f>
        <v>56.4</v>
      </c>
      <c r="C14" s="136" t="s">
        <v>137</v>
      </c>
      <c r="D14" s="140" t="s">
        <v>269</v>
      </c>
      <c r="H14" s="146" t="s">
        <v>168</v>
      </c>
      <c r="I14" s="139">
        <f>0.04*B1</f>
        <v>7.5200000000000003E-2</v>
      </c>
      <c r="J14" s="157" t="s">
        <v>137</v>
      </c>
      <c r="K14" s="158" t="s">
        <v>162</v>
      </c>
      <c r="L14" s="135" t="s">
        <v>223</v>
      </c>
      <c r="Q14" s="182" t="s">
        <v>212</v>
      </c>
      <c r="R14" s="147"/>
      <c r="S14" s="139">
        <f>30*B1</f>
        <v>56.4</v>
      </c>
      <c r="T14" s="187" t="s">
        <v>213</v>
      </c>
      <c r="U14" s="174" t="s">
        <v>188</v>
      </c>
      <c r="V14" s="135" t="s">
        <v>214</v>
      </c>
    </row>
    <row r="15" spans="1:26" ht="16.8" thickBot="1" x14ac:dyDescent="0.35">
      <c r="A15" s="135" t="s">
        <v>142</v>
      </c>
      <c r="B15" s="139">
        <f>IF(OR(B1="", L1=""), "", B1*30)</f>
        <v>56.4</v>
      </c>
      <c r="C15" s="136" t="s">
        <v>137</v>
      </c>
      <c r="D15" s="139" t="str">
        <f>IF(L1="", "", IF(L1&lt;=7, "Q12H", "Q8H"))</f>
        <v>Q8H</v>
      </c>
      <c r="H15" s="146" t="s">
        <v>170</v>
      </c>
      <c r="Q15" s="182" t="s">
        <v>229</v>
      </c>
      <c r="S15" s="139">
        <f>10*B1</f>
        <v>18.799999999999997</v>
      </c>
      <c r="T15" s="187" t="s">
        <v>231</v>
      </c>
      <c r="U15" s="157" t="s">
        <v>147</v>
      </c>
      <c r="V15" s="135" t="s">
        <v>232</v>
      </c>
    </row>
    <row r="16" spans="1:26" ht="20.399999999999999" thickBot="1" x14ac:dyDescent="0.35">
      <c r="A16" s="146" t="s">
        <v>143</v>
      </c>
      <c r="B16" s="147"/>
      <c r="C16" s="147"/>
      <c r="H16" s="135" t="s">
        <v>171</v>
      </c>
      <c r="I16" s="139">
        <f>0.25*B1</f>
        <v>0.47</v>
      </c>
      <c r="J16" s="157" t="s">
        <v>137</v>
      </c>
      <c r="K16" s="135" t="s">
        <v>224</v>
      </c>
      <c r="Q16" s="227" t="s">
        <v>233</v>
      </c>
      <c r="R16" s="228"/>
      <c r="S16" s="228"/>
      <c r="T16" s="229"/>
    </row>
    <row r="17" spans="1:27" ht="16.8" thickBot="1" x14ac:dyDescent="0.35">
      <c r="A17" s="135" t="s">
        <v>148</v>
      </c>
      <c r="B17" s="139">
        <f>IF(OR(B1="", L1="", Q1=""), "",
  IF(B1&lt;=2,
    IF(L1&lt;=7, B1*112.5,
      IF(Q1&lt;=30, B1*112.5, B1*90)
    ),
    B1*90
  )
)</f>
        <v>211.5</v>
      </c>
      <c r="C17" s="136" t="s">
        <v>137</v>
      </c>
      <c r="D17" s="139" t="str">
        <f>IF(OR(B1="", L1="", Q1=""), "",
  IF(B1&lt;=2,
    IF(L1&lt;=7, "Q8H",
      IF(Q1&lt;=30, "Q8H", "Q6H")
    ),
    "Q6H"
  )
)</f>
        <v>Q8H</v>
      </c>
      <c r="H17" s="135" t="s">
        <v>172</v>
      </c>
      <c r="I17" s="139">
        <f>1.5*B1</f>
        <v>2.82</v>
      </c>
      <c r="J17" s="157" t="s">
        <v>137</v>
      </c>
      <c r="K17" s="135" t="s">
        <v>225</v>
      </c>
      <c r="Q17" s="182" t="s">
        <v>235</v>
      </c>
      <c r="R17" s="147"/>
      <c r="S17" s="139">
        <f>0.25*B1</f>
        <v>0.47</v>
      </c>
      <c r="T17" s="169" t="s">
        <v>137</v>
      </c>
      <c r="U17" s="158" t="s">
        <v>162</v>
      </c>
      <c r="W17" s="135" t="s">
        <v>234</v>
      </c>
    </row>
    <row r="18" spans="1:27" ht="20.399999999999999" thickBot="1" x14ac:dyDescent="0.35">
      <c r="A18" s="146" t="s">
        <v>274</v>
      </c>
      <c r="B18" s="147"/>
      <c r="C18" s="147"/>
      <c r="H18" s="227" t="s">
        <v>173</v>
      </c>
      <c r="I18" s="228"/>
      <c r="J18" s="229"/>
      <c r="K18" s="157"/>
      <c r="L18" s="174"/>
      <c r="M18" s="174"/>
      <c r="N18" s="174"/>
      <c r="O18" s="174"/>
      <c r="P18" s="157"/>
      <c r="Q18" s="182" t="s">
        <v>236</v>
      </c>
      <c r="R18" s="147"/>
      <c r="S18" s="139">
        <f>0.6*B1</f>
        <v>1.1279999999999999</v>
      </c>
      <c r="T18" s="169" t="s">
        <v>137</v>
      </c>
      <c r="U18" s="157" t="s">
        <v>147</v>
      </c>
      <c r="V18" s="158" t="s">
        <v>241</v>
      </c>
    </row>
    <row r="19" spans="1:27" x14ac:dyDescent="0.3">
      <c r="A19" s="135" t="s">
        <v>275</v>
      </c>
      <c r="B19" s="139">
        <f>IF(OR(B1="", L1=""), "", MIN(1200, B1*30))</f>
        <v>56.4</v>
      </c>
      <c r="C19" s="169" t="s">
        <v>276</v>
      </c>
      <c r="D19" s="139" t="str">
        <f>IF(OR(B1="", L1=""), "", IF(AND(L1&gt;=90, B1&gt;=4), "Q8H", "Q12H"))</f>
        <v>Q12H</v>
      </c>
      <c r="H19" s="146" t="s">
        <v>180</v>
      </c>
      <c r="I19" s="139">
        <f>10*B1</f>
        <v>18.799999999999997</v>
      </c>
      <c r="J19" s="157" t="s">
        <v>137</v>
      </c>
      <c r="K19" s="135" t="s">
        <v>183</v>
      </c>
      <c r="L19" s="139">
        <f>5*B1</f>
        <v>9.3999999999999986</v>
      </c>
      <c r="M19" s="157" t="s">
        <v>137</v>
      </c>
      <c r="N19" s="135" t="s">
        <v>182</v>
      </c>
      <c r="O19" s="135"/>
      <c r="Q19" s="182" t="s">
        <v>237</v>
      </c>
      <c r="R19" s="147"/>
      <c r="S19" s="139">
        <f>0.5*B1</f>
        <v>0.94</v>
      </c>
      <c r="T19" s="169" t="s">
        <v>137</v>
      </c>
      <c r="U19" s="157" t="s">
        <v>147</v>
      </c>
      <c r="V19" s="135" t="s">
        <v>238</v>
      </c>
    </row>
    <row r="20" spans="1:27" x14ac:dyDescent="0.3">
      <c r="A20" s="146" t="s">
        <v>289</v>
      </c>
      <c r="B20" s="188"/>
      <c r="C20" s="188"/>
      <c r="D20" s="188"/>
      <c r="E20" s="146"/>
      <c r="F20" s="146"/>
      <c r="H20" s="146" t="s">
        <v>178</v>
      </c>
      <c r="I20" s="139">
        <f>30*B1</f>
        <v>56.4</v>
      </c>
      <c r="J20" s="157" t="s">
        <v>137</v>
      </c>
      <c r="K20" s="142" t="s">
        <v>181</v>
      </c>
      <c r="L20" s="142"/>
      <c r="Q20" s="182" t="s">
        <v>239</v>
      </c>
      <c r="R20" s="147"/>
      <c r="S20" s="139">
        <f>0.5*B1</f>
        <v>0.94</v>
      </c>
      <c r="T20" s="169" t="s">
        <v>137</v>
      </c>
      <c r="U20" s="157" t="s">
        <v>147</v>
      </c>
      <c r="V20" s="135" t="s">
        <v>240</v>
      </c>
    </row>
    <row r="21" spans="1:27" x14ac:dyDescent="0.3">
      <c r="A21" s="176" t="s">
        <v>275</v>
      </c>
      <c r="B21" s="139">
        <f>0.3*B1</f>
        <v>0.56399999999999995</v>
      </c>
      <c r="C21" s="191" t="s">
        <v>205</v>
      </c>
      <c r="D21" s="139" t="s">
        <v>247</v>
      </c>
      <c r="H21" s="146" t="s">
        <v>179</v>
      </c>
      <c r="I21" s="139">
        <f>15*B1</f>
        <v>28.2</v>
      </c>
      <c r="J21" s="157" t="s">
        <v>137</v>
      </c>
      <c r="K21" s="142" t="s">
        <v>181</v>
      </c>
      <c r="L21" s="142"/>
      <c r="M21" s="78" t="s">
        <v>197</v>
      </c>
      <c r="N21" s="139">
        <f>I21/24</f>
        <v>1.175</v>
      </c>
      <c r="O21" s="158" t="s">
        <v>144</v>
      </c>
      <c r="P21" s="158"/>
      <c r="Q21" s="182" t="s">
        <v>242</v>
      </c>
      <c r="R21" s="147"/>
      <c r="S21" s="139">
        <f>0.25*B1</f>
        <v>0.47</v>
      </c>
      <c r="T21" s="169" t="s">
        <v>137</v>
      </c>
      <c r="U21" s="169" t="s">
        <v>243</v>
      </c>
      <c r="V21" s="135" t="s">
        <v>234</v>
      </c>
      <c r="X21" s="78" t="s">
        <v>197</v>
      </c>
      <c r="Y21" s="139">
        <f>S21/1</f>
        <v>0.47</v>
      </c>
      <c r="Z21" s="158" t="s">
        <v>144</v>
      </c>
    </row>
    <row r="22" spans="1:27" ht="16.8" thickBot="1" x14ac:dyDescent="0.35">
      <c r="A22" s="146" t="s">
        <v>277</v>
      </c>
      <c r="B22" s="188"/>
      <c r="C22" s="188"/>
      <c r="D22" s="188"/>
      <c r="Q22" s="182" t="s">
        <v>244</v>
      </c>
      <c r="R22" s="147"/>
      <c r="S22" s="139">
        <f>0.1*B1</f>
        <v>0.188</v>
      </c>
      <c r="T22" s="169" t="s">
        <v>137</v>
      </c>
      <c r="U22" s="169" t="s">
        <v>243</v>
      </c>
      <c r="V22" s="135" t="s">
        <v>245</v>
      </c>
      <c r="Y22" s="135"/>
    </row>
    <row r="23" spans="1:27" ht="16.8" thickBot="1" x14ac:dyDescent="0.35">
      <c r="A23" s="189" t="s">
        <v>275</v>
      </c>
      <c r="B23" s="139">
        <f>IF(OR(B1="", F1="", L1=""), "",
  IF((F1*7+H1)&lt;=223,
    B1*20,
    IF(L1&lt;14, B1*20, B1*30)
  )
)</f>
        <v>37.599999999999994</v>
      </c>
      <c r="C23" s="149" t="s">
        <v>276</v>
      </c>
      <c r="D23" s="139" t="str">
        <f>IF(OR(F1="", L1=""), "",
  IF((F1*7+H1)&lt;=223,
    IF(L1&lt;14, "Q12H", "Q8H"),
    "Q8H"
  )
)</f>
        <v>Q8H</v>
      </c>
      <c r="E23" s="150"/>
      <c r="F23" s="150"/>
      <c r="H23" s="230" t="s">
        <v>184</v>
      </c>
      <c r="I23" s="231"/>
      <c r="J23" s="232"/>
      <c r="Q23" s="182" t="s">
        <v>246</v>
      </c>
      <c r="R23" s="147"/>
      <c r="S23" s="139">
        <f>0.1*B1</f>
        <v>0.188</v>
      </c>
      <c r="T23" s="169" t="s">
        <v>137</v>
      </c>
      <c r="U23" s="169" t="s">
        <v>145</v>
      </c>
      <c r="V23" s="135" t="s">
        <v>248</v>
      </c>
      <c r="Y23" s="135"/>
    </row>
    <row r="24" spans="1:27" x14ac:dyDescent="0.3">
      <c r="A24" s="135" t="s">
        <v>278</v>
      </c>
      <c r="B24" s="139">
        <f>IF(OR(B1="", L1=""), "", IF(L1&lt;=60, B1*40, "超過60天(請手動確認)"))</f>
        <v>75.199999999999989</v>
      </c>
      <c r="C24" s="190" t="s">
        <v>276</v>
      </c>
      <c r="D24" s="139" t="str">
        <f>IF(OR(B1="", L1=""), "",
  IF(B1&lt;=2,
    IF(L1&lt;=14, "Q12H", IF(L1&lt;=60, "Q8H", "確認醫囑")),
    IF(L1&lt;=60, "Q8H", "確認醫囑")
  )
)</f>
        <v>Q8H</v>
      </c>
      <c r="H24" s="146" t="s">
        <v>185</v>
      </c>
      <c r="I24" s="139">
        <f>0.5*B1</f>
        <v>0.94</v>
      </c>
      <c r="J24" s="157" t="s">
        <v>137</v>
      </c>
      <c r="K24" s="142" t="s">
        <v>181</v>
      </c>
      <c r="L24" s="135" t="s">
        <v>221</v>
      </c>
      <c r="Q24" s="182" t="s">
        <v>249</v>
      </c>
      <c r="R24" s="147"/>
      <c r="S24" s="139">
        <f>1.5</f>
        <v>1.5</v>
      </c>
      <c r="T24" s="148" t="s">
        <v>207</v>
      </c>
      <c r="U24" s="169" t="s">
        <v>145</v>
      </c>
      <c r="V24" s="135" t="s">
        <v>250</v>
      </c>
      <c r="X24" s="78" t="s">
        <v>197</v>
      </c>
      <c r="Y24" s="139">
        <f>S24/3</f>
        <v>0.5</v>
      </c>
      <c r="Z24" s="169" t="s">
        <v>251</v>
      </c>
    </row>
    <row r="25" spans="1:27" x14ac:dyDescent="0.3">
      <c r="A25" s="146" t="s">
        <v>279</v>
      </c>
      <c r="B25" s="135"/>
      <c r="C25" s="135"/>
      <c r="D25" s="135"/>
      <c r="H25" s="146" t="s">
        <v>186</v>
      </c>
      <c r="I25" s="139">
        <f>1*B1</f>
        <v>1.88</v>
      </c>
      <c r="J25" s="157" t="s">
        <v>137</v>
      </c>
      <c r="K25" s="174" t="s">
        <v>145</v>
      </c>
      <c r="Q25" s="182" t="s">
        <v>252</v>
      </c>
      <c r="R25" s="147"/>
      <c r="S25" s="139">
        <f>1.5*B1</f>
        <v>2.82</v>
      </c>
      <c r="T25" s="169" t="s">
        <v>137</v>
      </c>
      <c r="U25" s="169" t="s">
        <v>243</v>
      </c>
      <c r="V25" s="135" t="s">
        <v>253</v>
      </c>
      <c r="Y25" s="135"/>
    </row>
    <row r="26" spans="1:27" x14ac:dyDescent="0.3">
      <c r="A26" s="135" t="s">
        <v>280</v>
      </c>
      <c r="B26" s="139">
        <f>IF(OR(B1="", Q1=""), "", B1*15)</f>
        <v>28.2</v>
      </c>
      <c r="C26" s="169" t="s">
        <v>276</v>
      </c>
      <c r="D26" s="139" t="str">
        <f>IF(OR(Q1="", S1=""), "",
  IF((Q1*7+S1)&lt;203, "Q24H",
    IF((Q1*7+S1)&lt;252, "Q12H", "Q8H")
  )
)</f>
        <v>Q12H</v>
      </c>
      <c r="H26" s="146" t="s">
        <v>187</v>
      </c>
      <c r="I26" s="139">
        <f>0.5*B1</f>
        <v>0.94</v>
      </c>
      <c r="J26" s="186" t="s">
        <v>210</v>
      </c>
      <c r="K26" s="174" t="s">
        <v>188</v>
      </c>
      <c r="L26" s="135" t="s">
        <v>222</v>
      </c>
      <c r="Q26" s="182" t="s">
        <v>254</v>
      </c>
      <c r="S26" s="139">
        <f>0.1*B1</f>
        <v>0.188</v>
      </c>
      <c r="T26" s="148" t="s">
        <v>210</v>
      </c>
      <c r="U26" s="157" t="s">
        <v>147</v>
      </c>
      <c r="V26" s="135" t="s">
        <v>255</v>
      </c>
      <c r="W26" s="135"/>
      <c r="X26" s="78" t="s">
        <v>197</v>
      </c>
      <c r="Y26" s="139">
        <f>S26*0.32/0.5</f>
        <v>0.12032</v>
      </c>
      <c r="Z26" s="158" t="s">
        <v>144</v>
      </c>
      <c r="AA26" s="135"/>
    </row>
    <row r="27" spans="1:27" ht="16.8" thickBot="1" x14ac:dyDescent="0.35">
      <c r="A27" s="135" t="s">
        <v>278</v>
      </c>
      <c r="B27" s="139" t="str">
        <f>IF(OR(B1="", L1=""), "",
  IF(B1&lt;2, "體重&lt;2kg(請手動確認)",
    IF(L1&lt;=7, B1*10, B1*11.25)
  )
)</f>
        <v>體重&lt;2kg(請手動確認)</v>
      </c>
      <c r="C27" s="169" t="s">
        <v>276</v>
      </c>
      <c r="D27" s="139" t="str">
        <f>IF(OR(B1="", L1=""), "",
  IF(B1&lt;2, "確認醫囑",
    IF(L1&lt;=7, "Q8H", "Q6H")
  )
)</f>
        <v>確認醫囑</v>
      </c>
      <c r="H27" s="175"/>
      <c r="I27" s="149"/>
      <c r="J27" s="174"/>
      <c r="K27" s="174"/>
      <c r="L27" s="150"/>
      <c r="M27" s="150"/>
      <c r="N27" s="150"/>
      <c r="O27" s="150"/>
      <c r="Q27" s="182" t="s">
        <v>256</v>
      </c>
      <c r="R27" s="147"/>
      <c r="S27" s="139">
        <f>B1*0.2</f>
        <v>0.376</v>
      </c>
      <c r="T27" s="169" t="s">
        <v>257</v>
      </c>
      <c r="U27" s="157" t="s">
        <v>147</v>
      </c>
      <c r="V27" s="78" t="s">
        <v>197</v>
      </c>
      <c r="W27" s="139">
        <f>S27*7</f>
        <v>2.6320000000000001</v>
      </c>
      <c r="X27" s="169" t="s">
        <v>137</v>
      </c>
      <c r="Y27" s="135"/>
      <c r="Z27" s="135"/>
      <c r="AA27" s="135"/>
    </row>
    <row r="28" spans="1:27" ht="16.8" thickBot="1" x14ac:dyDescent="0.35">
      <c r="A28" s="146" t="s">
        <v>281</v>
      </c>
      <c r="H28" s="224" t="s">
        <v>189</v>
      </c>
      <c r="I28" s="225"/>
      <c r="J28" s="226"/>
      <c r="K28" s="174"/>
      <c r="L28" s="176"/>
      <c r="M28" s="150"/>
      <c r="N28" s="150"/>
      <c r="O28" s="150"/>
      <c r="Q28" s="182" t="s">
        <v>258</v>
      </c>
      <c r="R28" s="147"/>
      <c r="S28" s="139">
        <f>10*B1</f>
        <v>18.799999999999997</v>
      </c>
      <c r="T28" s="169" t="s">
        <v>137</v>
      </c>
      <c r="U28" s="169" t="s">
        <v>243</v>
      </c>
      <c r="V28" s="135" t="s">
        <v>259</v>
      </c>
      <c r="W28" s="135"/>
      <c r="X28" s="135"/>
      <c r="Y28" s="135"/>
      <c r="Z28" s="135"/>
      <c r="AA28" s="135"/>
    </row>
    <row r="29" spans="1:27" x14ac:dyDescent="0.3">
      <c r="A29" s="135" t="s">
        <v>282</v>
      </c>
      <c r="B29" s="139">
        <f>16*B1</f>
        <v>30.08</v>
      </c>
      <c r="C29" s="169" t="s">
        <v>276</v>
      </c>
      <c r="D29" s="139" t="s">
        <v>283</v>
      </c>
      <c r="H29" s="146" t="s">
        <v>190</v>
      </c>
      <c r="I29" s="139">
        <f>5*B1</f>
        <v>9.3999999999999986</v>
      </c>
      <c r="J29" s="157" t="s">
        <v>137</v>
      </c>
      <c r="K29" s="174" t="s">
        <v>191</v>
      </c>
      <c r="L29" s="139">
        <f>1*B1</f>
        <v>1.88</v>
      </c>
      <c r="M29" s="157" t="s">
        <v>137</v>
      </c>
      <c r="N29" s="174" t="s">
        <v>145</v>
      </c>
      <c r="O29" s="174" t="s">
        <v>192</v>
      </c>
      <c r="P29" s="174"/>
      <c r="Q29" s="182" t="s">
        <v>260</v>
      </c>
      <c r="S29" s="139">
        <f>3.75*B1</f>
        <v>7.05</v>
      </c>
      <c r="T29" s="169" t="s">
        <v>137</v>
      </c>
      <c r="U29" s="169" t="s">
        <v>145</v>
      </c>
      <c r="V29" s="135" t="s">
        <v>261</v>
      </c>
      <c r="W29" s="135"/>
      <c r="X29" s="135"/>
      <c r="Y29" s="135"/>
      <c r="Z29" s="135"/>
      <c r="AA29" s="135"/>
    </row>
    <row r="30" spans="1:27" x14ac:dyDescent="0.3">
      <c r="A30" s="135" t="s">
        <v>284</v>
      </c>
      <c r="B30" s="139">
        <f>8*B1</f>
        <v>15.04</v>
      </c>
      <c r="C30" s="169" t="s">
        <v>276</v>
      </c>
      <c r="D30" s="139" t="s">
        <v>208</v>
      </c>
      <c r="H30" s="146" t="s">
        <v>193</v>
      </c>
      <c r="I30" s="139">
        <f>5*B1</f>
        <v>9.3999999999999986</v>
      </c>
      <c r="J30" s="157" t="s">
        <v>137</v>
      </c>
      <c r="K30" s="174" t="s">
        <v>191</v>
      </c>
      <c r="L30" s="139">
        <f>1*B1</f>
        <v>1.88</v>
      </c>
      <c r="M30" s="157" t="s">
        <v>137</v>
      </c>
      <c r="N30" s="174" t="s">
        <v>145</v>
      </c>
      <c r="O30" s="174" t="s">
        <v>192</v>
      </c>
      <c r="P30" s="174"/>
      <c r="Q30" s="182" t="s">
        <v>263</v>
      </c>
      <c r="R30" s="147"/>
      <c r="S30" s="139">
        <f>10*B1</f>
        <v>18.799999999999997</v>
      </c>
      <c r="T30" s="169" t="s">
        <v>137</v>
      </c>
      <c r="U30" s="169" t="s">
        <v>243</v>
      </c>
      <c r="V30" s="135" t="s">
        <v>262</v>
      </c>
      <c r="W30" s="135"/>
      <c r="X30" s="135"/>
      <c r="Y30" s="135"/>
      <c r="Z30" s="135"/>
      <c r="AA30" s="135"/>
    </row>
    <row r="31" spans="1:27" x14ac:dyDescent="0.3">
      <c r="A31" s="146" t="s">
        <v>285</v>
      </c>
      <c r="H31" s="146" t="s">
        <v>194</v>
      </c>
      <c r="I31" s="171">
        <f>20*B1</f>
        <v>37.599999999999994</v>
      </c>
      <c r="J31" s="157" t="s">
        <v>137</v>
      </c>
      <c r="K31" s="174" t="s">
        <v>191</v>
      </c>
      <c r="L31" s="139">
        <f>10*B1</f>
        <v>18.799999999999997</v>
      </c>
      <c r="M31" s="157" t="s">
        <v>137</v>
      </c>
      <c r="N31" s="142" t="s">
        <v>147</v>
      </c>
      <c r="O31" s="174" t="s">
        <v>192</v>
      </c>
      <c r="P31" s="174"/>
      <c r="Q31" s="182" t="s">
        <v>264</v>
      </c>
      <c r="R31" s="147"/>
      <c r="S31" s="139">
        <f>5*B1</f>
        <v>9.3999999999999986</v>
      </c>
      <c r="T31" s="169" t="s">
        <v>137</v>
      </c>
      <c r="U31" s="169" t="s">
        <v>145</v>
      </c>
      <c r="V31" s="135" t="s">
        <v>265</v>
      </c>
      <c r="W31" s="135"/>
      <c r="X31" s="135"/>
      <c r="Y31" s="135"/>
      <c r="Z31" s="135"/>
      <c r="AA31" s="135"/>
    </row>
    <row r="32" spans="1:27" x14ac:dyDescent="0.3">
      <c r="A32" s="135" t="s">
        <v>286</v>
      </c>
      <c r="B32" s="139">
        <f>3*B1</f>
        <v>5.64</v>
      </c>
      <c r="C32" s="169" t="s">
        <v>276</v>
      </c>
      <c r="D32" s="149" t="s">
        <v>287</v>
      </c>
      <c r="H32" s="185" t="s">
        <v>195</v>
      </c>
      <c r="Q32" s="182" t="s">
        <v>266</v>
      </c>
      <c r="R32" s="147"/>
      <c r="S32" s="139">
        <f>10*B1</f>
        <v>18.799999999999997</v>
      </c>
      <c r="T32" s="148" t="s">
        <v>210</v>
      </c>
      <c r="U32" s="157" t="s">
        <v>147</v>
      </c>
      <c r="V32" s="135" t="s">
        <v>267</v>
      </c>
      <c r="W32" s="135"/>
      <c r="X32" s="135"/>
      <c r="Y32" s="135"/>
      <c r="Z32" s="135"/>
    </row>
    <row r="33" spans="1:26" ht="16.8" thickBot="1" x14ac:dyDescent="0.35">
      <c r="A33" s="135" t="s">
        <v>288</v>
      </c>
      <c r="B33" s="139">
        <f>25*B1</f>
        <v>47</v>
      </c>
      <c r="C33" s="169" t="s">
        <v>276</v>
      </c>
      <c r="D33" s="149" t="s">
        <v>208</v>
      </c>
      <c r="Q33" s="182" t="s">
        <v>270</v>
      </c>
      <c r="R33" s="147"/>
      <c r="S33" s="139">
        <f>0.25*B1</f>
        <v>0.47</v>
      </c>
      <c r="T33" s="169" t="s">
        <v>137</v>
      </c>
      <c r="U33" s="169" t="s">
        <v>145</v>
      </c>
      <c r="V33" s="135" t="s">
        <v>271</v>
      </c>
      <c r="W33" s="135"/>
      <c r="X33" s="135" t="s">
        <v>272</v>
      </c>
      <c r="Y33" s="135" t="s">
        <v>273</v>
      </c>
      <c r="Z33" s="135"/>
    </row>
    <row r="34" spans="1:26" ht="16.8" thickBot="1" x14ac:dyDescent="0.35">
      <c r="A34" s="135" t="s">
        <v>149</v>
      </c>
      <c r="B34" s="139">
        <f>12*B1</f>
        <v>22.56</v>
      </c>
      <c r="C34" s="169" t="s">
        <v>137</v>
      </c>
      <c r="D34" s="149" t="s">
        <v>147</v>
      </c>
      <c r="H34" s="179" t="s">
        <v>196</v>
      </c>
      <c r="I34" s="131">
        <f>200*B1</f>
        <v>376</v>
      </c>
      <c r="J34" s="130" t="s">
        <v>137</v>
      </c>
      <c r="K34" s="177" t="s">
        <v>197</v>
      </c>
      <c r="L34" s="131">
        <f>2.5*B1</f>
        <v>4.6999999999999993</v>
      </c>
      <c r="M34" s="178" t="s">
        <v>58</v>
      </c>
      <c r="Q34" s="182" t="s">
        <v>299</v>
      </c>
      <c r="R34" s="147"/>
      <c r="S34" s="139">
        <f>20*B1</f>
        <v>37.599999999999994</v>
      </c>
      <c r="T34" s="169" t="s">
        <v>137</v>
      </c>
      <c r="U34" s="169" t="s">
        <v>145</v>
      </c>
      <c r="V34" s="135" t="s">
        <v>300</v>
      </c>
      <c r="W34" s="135"/>
      <c r="X34" s="78" t="s">
        <v>197</v>
      </c>
      <c r="Y34" s="139">
        <f>S34/200</f>
        <v>0.18799999999999997</v>
      </c>
      <c r="Z34" s="158" t="s">
        <v>144</v>
      </c>
    </row>
    <row r="35" spans="1:26" x14ac:dyDescent="0.3">
      <c r="A35" s="176"/>
      <c r="B35" s="149"/>
      <c r="C35" s="149"/>
      <c r="D35" s="176"/>
    </row>
    <row r="36" spans="1:26" x14ac:dyDescent="0.3">
      <c r="A36" s="176"/>
      <c r="B36" s="149"/>
      <c r="C36" s="149"/>
      <c r="D36" s="149"/>
    </row>
    <row r="37" spans="1:26" x14ac:dyDescent="0.3">
      <c r="A37" s="176"/>
      <c r="B37" s="149"/>
      <c r="C37" s="149"/>
      <c r="D37" s="149"/>
    </row>
  </sheetData>
  <protectedRanges>
    <protectedRange sqref="B1 F1 H1 L1 M12" name="範圍1"/>
  </protectedRanges>
  <mergeCells count="13">
    <mergeCell ref="W1:X1"/>
    <mergeCell ref="A2:C2"/>
    <mergeCell ref="H2:J2"/>
    <mergeCell ref="W2:Z2"/>
    <mergeCell ref="C3:C6"/>
    <mergeCell ref="C8:C9"/>
    <mergeCell ref="H28:J28"/>
    <mergeCell ref="H18:J18"/>
    <mergeCell ref="H23:J23"/>
    <mergeCell ref="Q2:T2"/>
    <mergeCell ref="Q9:T9"/>
    <mergeCell ref="Q11:T11"/>
    <mergeCell ref="Q16:T1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AF1B-7398-466B-AF82-9C41BD6C1236}">
  <dimension ref="A1:Q17"/>
  <sheetViews>
    <sheetView workbookViewId="0">
      <selection activeCell="E16" sqref="E16"/>
    </sheetView>
  </sheetViews>
  <sheetFormatPr defaultRowHeight="16.2" x14ac:dyDescent="0.3"/>
  <cols>
    <col min="1" max="1" width="11.88671875" customWidth="1"/>
    <col min="2" max="2" width="11.109375" customWidth="1"/>
    <col min="3" max="3" width="12.109375" customWidth="1"/>
    <col min="4" max="4" width="11.5546875" customWidth="1"/>
    <col min="5" max="5" width="9.44140625" bestFit="1" customWidth="1"/>
    <col min="6" max="6" width="12.44140625" customWidth="1"/>
    <col min="7" max="7" width="13.44140625" customWidth="1"/>
    <col min="9" max="9" width="12.6640625" customWidth="1"/>
    <col min="10" max="10" width="12.33203125" customWidth="1"/>
    <col min="15" max="15" width="11.88671875" customWidth="1"/>
    <col min="17" max="17" width="12.44140625" customWidth="1"/>
  </cols>
  <sheetData>
    <row r="1" spans="1:17" ht="20.399999999999999" thickBot="1" x14ac:dyDescent="0.35">
      <c r="A1" s="41" t="s">
        <v>56</v>
      </c>
      <c r="B1" s="208"/>
      <c r="C1" s="42" t="s">
        <v>61</v>
      </c>
      <c r="G1" s="196" t="s">
        <v>313</v>
      </c>
      <c r="H1" s="196"/>
      <c r="I1" s="184"/>
      <c r="J1" s="184"/>
      <c r="K1" s="184"/>
    </row>
    <row r="2" spans="1:17" x14ac:dyDescent="0.3">
      <c r="A2" s="146" t="s">
        <v>303</v>
      </c>
      <c r="B2" s="147"/>
      <c r="C2" s="147"/>
      <c r="D2" s="147"/>
      <c r="E2" s="147"/>
    </row>
    <row r="3" spans="1:17" x14ac:dyDescent="0.3">
      <c r="A3" s="139">
        <f>B1*25</f>
        <v>0</v>
      </c>
      <c r="B3" s="169" t="s">
        <v>137</v>
      </c>
      <c r="C3" s="135" t="s">
        <v>301</v>
      </c>
      <c r="D3" s="158" t="s">
        <v>197</v>
      </c>
      <c r="E3" s="139">
        <f>A3/100</f>
        <v>0</v>
      </c>
      <c r="F3" s="158" t="s">
        <v>144</v>
      </c>
      <c r="G3" s="135" t="s">
        <v>302</v>
      </c>
      <c r="H3" s="135"/>
    </row>
    <row r="4" spans="1:17" x14ac:dyDescent="0.3">
      <c r="A4" s="146" t="s">
        <v>304</v>
      </c>
      <c r="B4" s="146"/>
      <c r="C4" s="135"/>
      <c r="D4" s="135"/>
      <c r="E4" s="135"/>
      <c r="F4" s="135"/>
      <c r="G4" s="135"/>
      <c r="H4" s="135"/>
    </row>
    <row r="5" spans="1:17" x14ac:dyDescent="0.3">
      <c r="A5" s="139">
        <f>B1*16.5</f>
        <v>0</v>
      </c>
      <c r="B5" s="169" t="s">
        <v>137</v>
      </c>
      <c r="C5" s="135" t="s">
        <v>306</v>
      </c>
      <c r="D5" s="158" t="s">
        <v>305</v>
      </c>
      <c r="E5" s="135"/>
      <c r="F5" s="135"/>
      <c r="G5" s="135"/>
      <c r="H5" s="135"/>
    </row>
    <row r="6" spans="1:17" x14ac:dyDescent="0.3">
      <c r="A6" s="146" t="s">
        <v>307</v>
      </c>
      <c r="B6" s="195"/>
      <c r="C6" s="195"/>
      <c r="D6" s="135"/>
      <c r="E6" s="135"/>
      <c r="F6" s="135"/>
      <c r="G6" s="135"/>
      <c r="H6" s="135"/>
    </row>
    <row r="7" spans="1:17" x14ac:dyDescent="0.3">
      <c r="A7" s="146" t="s">
        <v>308</v>
      </c>
      <c r="B7" s="139">
        <f>1.34*B1</f>
        <v>0</v>
      </c>
      <c r="C7" s="158" t="s">
        <v>144</v>
      </c>
      <c r="D7" s="135" t="s">
        <v>311</v>
      </c>
      <c r="E7" s="135" t="s">
        <v>312</v>
      </c>
      <c r="F7" s="135"/>
      <c r="G7" s="135"/>
      <c r="H7" s="135"/>
    </row>
    <row r="8" spans="1:17" x14ac:dyDescent="0.3">
      <c r="A8" s="146" t="s">
        <v>309</v>
      </c>
      <c r="B8" s="139">
        <f>B1*1</f>
        <v>0</v>
      </c>
      <c r="C8" s="158" t="s">
        <v>144</v>
      </c>
      <c r="D8" s="135" t="s">
        <v>311</v>
      </c>
      <c r="E8" s="135" t="s">
        <v>310</v>
      </c>
      <c r="F8" s="135"/>
      <c r="G8" s="135"/>
      <c r="H8" s="135"/>
    </row>
    <row r="9" spans="1:17" x14ac:dyDescent="0.3">
      <c r="A9" s="146" t="s">
        <v>314</v>
      </c>
      <c r="B9" s="198"/>
      <c r="C9" s="198"/>
      <c r="D9" s="135"/>
      <c r="E9" s="135"/>
      <c r="F9" s="135"/>
      <c r="G9" s="135"/>
      <c r="H9" s="135"/>
    </row>
    <row r="10" spans="1:17" x14ac:dyDescent="0.3">
      <c r="A10" s="135" t="s">
        <v>316</v>
      </c>
      <c r="B10" s="139">
        <f>0.2*B1</f>
        <v>0</v>
      </c>
      <c r="C10" s="197" t="s">
        <v>315</v>
      </c>
      <c r="D10" s="199" t="s">
        <v>321</v>
      </c>
      <c r="E10" s="200" t="e">
        <f>B10*103.86/B1</f>
        <v>#DIV/0!</v>
      </c>
      <c r="F10" s="201" t="s">
        <v>319</v>
      </c>
      <c r="G10" s="199" t="s">
        <v>320</v>
      </c>
      <c r="H10" s="200" t="e">
        <f>B10*66.51/B1</f>
        <v>#DIV/0!</v>
      </c>
      <c r="I10" s="201" t="s">
        <v>319</v>
      </c>
      <c r="J10" s="199" t="s">
        <v>322</v>
      </c>
      <c r="K10" s="203">
        <f>330*B10</f>
        <v>0</v>
      </c>
      <c r="L10" s="202" t="s">
        <v>323</v>
      </c>
      <c r="N10" s="151" t="s">
        <v>318</v>
      </c>
    </row>
    <row r="11" spans="1:17" x14ac:dyDescent="0.3">
      <c r="A11" s="176" t="s">
        <v>317</v>
      </c>
      <c r="B11" s="139">
        <f>0.75*B1</f>
        <v>0</v>
      </c>
      <c r="C11" s="197" t="s">
        <v>315</v>
      </c>
      <c r="D11" s="199" t="s">
        <v>321</v>
      </c>
      <c r="E11" s="200" t="e">
        <f>B11*103.86/B1</f>
        <v>#DIV/0!</v>
      </c>
      <c r="F11" s="201" t="s">
        <v>319</v>
      </c>
      <c r="G11" s="199" t="s">
        <v>320</v>
      </c>
      <c r="H11" s="200" t="e">
        <f>B11*66.51/B1</f>
        <v>#DIV/0!</v>
      </c>
      <c r="I11" s="201" t="s">
        <v>319</v>
      </c>
      <c r="J11" s="199" t="s">
        <v>322</v>
      </c>
      <c r="K11" s="203">
        <f>330*B11</f>
        <v>0</v>
      </c>
      <c r="L11" s="202" t="s">
        <v>323</v>
      </c>
    </row>
    <row r="12" spans="1:17" x14ac:dyDescent="0.3">
      <c r="A12" s="146" t="s">
        <v>324</v>
      </c>
      <c r="B12" s="198"/>
      <c r="C12" s="198"/>
      <c r="D12" s="135"/>
      <c r="E12" s="135"/>
      <c r="F12" s="135"/>
      <c r="G12" s="135"/>
      <c r="H12" s="135"/>
    </row>
    <row r="13" spans="1:17" x14ac:dyDescent="0.3">
      <c r="A13" s="135" t="s">
        <v>316</v>
      </c>
      <c r="B13" s="139">
        <f>0.045*B1</f>
        <v>0</v>
      </c>
      <c r="C13" s="197" t="s">
        <v>315</v>
      </c>
      <c r="D13" s="199" t="s">
        <v>321</v>
      </c>
      <c r="E13" s="200" t="e">
        <f>B13*450/B1</f>
        <v>#DIV/0!</v>
      </c>
      <c r="F13" s="201" t="s">
        <v>319</v>
      </c>
      <c r="G13" s="199" t="s">
        <v>320</v>
      </c>
      <c r="H13" s="200" t="e">
        <f>B13*230/B1</f>
        <v>#DIV/0!</v>
      </c>
      <c r="I13" s="201" t="s">
        <v>319</v>
      </c>
      <c r="J13" s="199" t="s">
        <v>325</v>
      </c>
      <c r="K13" s="203">
        <f>330*B13</f>
        <v>0</v>
      </c>
      <c r="L13" s="202" t="s">
        <v>323</v>
      </c>
      <c r="N13" s="34" t="s">
        <v>326</v>
      </c>
    </row>
    <row r="14" spans="1:17" x14ac:dyDescent="0.3">
      <c r="A14" s="176" t="s">
        <v>317</v>
      </c>
      <c r="B14" s="139">
        <f>0.17*B1</f>
        <v>0</v>
      </c>
      <c r="C14" s="197" t="s">
        <v>315</v>
      </c>
      <c r="D14" s="199" t="s">
        <v>321</v>
      </c>
      <c r="E14" s="200" t="e">
        <f>B14*450/B1</f>
        <v>#DIV/0!</v>
      </c>
      <c r="F14" s="201" t="s">
        <v>319</v>
      </c>
      <c r="G14" s="199" t="s">
        <v>320</v>
      </c>
      <c r="H14" s="200" t="e">
        <f>B14*230/B1</f>
        <v>#DIV/0!</v>
      </c>
      <c r="I14" s="201" t="s">
        <v>319</v>
      </c>
      <c r="J14" s="199" t="s">
        <v>325</v>
      </c>
      <c r="K14" s="203">
        <f>330*B14</f>
        <v>0</v>
      </c>
      <c r="L14" s="202" t="s">
        <v>323</v>
      </c>
    </row>
    <row r="15" spans="1:17" x14ac:dyDescent="0.3">
      <c r="A15" s="146" t="s">
        <v>327</v>
      </c>
      <c r="B15" s="207"/>
      <c r="C15" s="207"/>
    </row>
    <row r="16" spans="1:17" x14ac:dyDescent="0.3">
      <c r="A16" s="176" t="s">
        <v>328</v>
      </c>
      <c r="B16" s="215" t="s">
        <v>333</v>
      </c>
      <c r="C16" s="206"/>
      <c r="D16" s="204" t="s">
        <v>144</v>
      </c>
      <c r="E16" s="199" t="s">
        <v>321</v>
      </c>
      <c r="F16" s="203" t="e">
        <f>C16*39.92/B1</f>
        <v>#DIV/0!</v>
      </c>
      <c r="G16" s="201" t="s">
        <v>331</v>
      </c>
      <c r="H16" s="199" t="s">
        <v>320</v>
      </c>
      <c r="I16" s="203" t="e">
        <f>20.57*C16/B1</f>
        <v>#DIV/0!</v>
      </c>
      <c r="J16" s="201" t="s">
        <v>331</v>
      </c>
      <c r="K16" s="201"/>
      <c r="L16" s="199" t="s">
        <v>325</v>
      </c>
      <c r="M16" s="203">
        <f>160*C16</f>
        <v>0</v>
      </c>
      <c r="N16" s="202" t="s">
        <v>323</v>
      </c>
      <c r="O16" s="205" t="s">
        <v>329</v>
      </c>
      <c r="P16" s="203" t="e">
        <f>1600*C16/B1</f>
        <v>#DIV/0!</v>
      </c>
      <c r="Q16" s="202" t="s">
        <v>332</v>
      </c>
    </row>
    <row r="17" spans="6:6" x14ac:dyDescent="0.3">
      <c r="F17" s="135" t="s">
        <v>330</v>
      </c>
    </row>
  </sheetData>
  <sheetProtection algorithmName="SHA-512" hashValue="X6DBPcSObNs6m+wTN2d57xvoXZ90SE9Ad68pujmzC6iyqKUjfGupfCWLmMbb2kDVtl5qcAuOzz3iJJlNuNiU0Q==" saltValue="sWoi55mdxHkko7xUpgzTsA==" spinCount="100000" sheet="1" objects="1" scenarios="1"/>
  <protectedRanges>
    <protectedRange sqref="C16" name="範圍2"/>
    <protectedRange sqref="B1" name="範圍1"/>
  </protectedRange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8BE5-6A1E-404D-ABB0-67DBEF3BC23A}">
  <dimension ref="A1:K12"/>
  <sheetViews>
    <sheetView workbookViewId="0">
      <selection activeCell="K5" sqref="K5"/>
    </sheetView>
  </sheetViews>
  <sheetFormatPr defaultRowHeight="16.2" x14ac:dyDescent="0.3"/>
  <cols>
    <col min="2" max="2" width="9.77734375" customWidth="1"/>
    <col min="3" max="3" width="25" customWidth="1"/>
    <col min="7" max="7" width="16.88671875" customWidth="1"/>
    <col min="11" max="11" width="18.5546875" customWidth="1"/>
  </cols>
  <sheetData>
    <row r="1" spans="1:11" ht="20.399999999999999" thickBot="1" x14ac:dyDescent="0.35">
      <c r="A1" s="246" t="s">
        <v>293</v>
      </c>
      <c r="B1" s="247"/>
      <c r="C1" s="248"/>
      <c r="F1" s="41" t="s">
        <v>56</v>
      </c>
      <c r="G1" s="208"/>
      <c r="H1" s="192" t="s">
        <v>61</v>
      </c>
    </row>
    <row r="2" spans="1:11" ht="19.2" customHeight="1" x14ac:dyDescent="0.3">
      <c r="A2" s="139">
        <f>1*G1</f>
        <v>0</v>
      </c>
      <c r="B2" s="169" t="s">
        <v>137</v>
      </c>
      <c r="C2" s="169" t="s">
        <v>181</v>
      </c>
      <c r="D2" s="169" t="s">
        <v>292</v>
      </c>
      <c r="E2" s="240" t="s">
        <v>295</v>
      </c>
      <c r="F2" s="241"/>
      <c r="G2" s="242"/>
      <c r="I2" s="194"/>
      <c r="J2" s="193"/>
      <c r="K2" s="193"/>
    </row>
    <row r="3" spans="1:11" ht="20.399999999999999" customHeight="1" x14ac:dyDescent="0.3">
      <c r="A3" s="139">
        <f>1*G1</f>
        <v>0</v>
      </c>
      <c r="B3" s="169" t="s">
        <v>137</v>
      </c>
      <c r="C3" s="169" t="s">
        <v>145</v>
      </c>
      <c r="D3" s="169" t="s">
        <v>292</v>
      </c>
      <c r="E3" s="249"/>
      <c r="F3" s="250"/>
      <c r="G3" s="251"/>
      <c r="I3" s="193"/>
      <c r="J3" s="193"/>
      <c r="K3" s="193"/>
    </row>
    <row r="4" spans="1:11" ht="23.4" customHeight="1" thickBot="1" x14ac:dyDescent="0.35">
      <c r="A4" s="171">
        <f>1*G1</f>
        <v>0</v>
      </c>
      <c r="B4" s="169" t="s">
        <v>137</v>
      </c>
      <c r="C4" s="169" t="s">
        <v>147</v>
      </c>
      <c r="D4" s="169" t="s">
        <v>292</v>
      </c>
      <c r="E4" s="243"/>
      <c r="F4" s="244"/>
      <c r="G4" s="245"/>
      <c r="I4" s="193"/>
      <c r="J4" s="193"/>
      <c r="K4" s="193"/>
    </row>
    <row r="5" spans="1:11" ht="20.399999999999999" thickBot="1" x14ac:dyDescent="0.35">
      <c r="A5" s="246" t="s">
        <v>290</v>
      </c>
      <c r="B5" s="247"/>
      <c r="C5" s="248"/>
      <c r="I5" s="78"/>
      <c r="J5" s="78"/>
      <c r="K5" s="78"/>
    </row>
    <row r="6" spans="1:11" x14ac:dyDescent="0.3">
      <c r="A6" s="139">
        <f>0.075*G1</f>
        <v>0</v>
      </c>
      <c r="B6" s="169" t="s">
        <v>137</v>
      </c>
      <c r="C6" s="169" t="s">
        <v>145</v>
      </c>
      <c r="D6" s="169" t="s">
        <v>294</v>
      </c>
      <c r="E6" s="240" t="s">
        <v>296</v>
      </c>
      <c r="F6" s="241"/>
      <c r="G6" s="242"/>
      <c r="I6" s="194"/>
      <c r="J6" s="193"/>
      <c r="K6" s="193"/>
    </row>
    <row r="7" spans="1:11" x14ac:dyDescent="0.3">
      <c r="A7" s="139">
        <f>0.05*G1</f>
        <v>0</v>
      </c>
      <c r="B7" s="169" t="s">
        <v>137</v>
      </c>
      <c r="C7" s="169" t="s">
        <v>145</v>
      </c>
      <c r="D7" s="169" t="s">
        <v>294</v>
      </c>
      <c r="E7" s="249"/>
      <c r="F7" s="250"/>
      <c r="G7" s="251"/>
      <c r="I7" s="193"/>
      <c r="J7" s="193"/>
      <c r="K7" s="193"/>
    </row>
    <row r="8" spans="1:11" x14ac:dyDescent="0.3">
      <c r="A8" s="139">
        <f>0.025*G1</f>
        <v>0</v>
      </c>
      <c r="B8" s="169" t="s">
        <v>137</v>
      </c>
      <c r="C8" s="169" t="s">
        <v>145</v>
      </c>
      <c r="D8" s="169" t="s">
        <v>292</v>
      </c>
      <c r="E8" s="249"/>
      <c r="F8" s="250"/>
      <c r="G8" s="251"/>
      <c r="I8" s="193"/>
      <c r="J8" s="193"/>
      <c r="K8" s="193"/>
    </row>
    <row r="9" spans="1:11" ht="28.2" customHeight="1" thickBot="1" x14ac:dyDescent="0.35">
      <c r="A9" s="139">
        <f>0.01*G1</f>
        <v>0</v>
      </c>
      <c r="B9" s="169" t="s">
        <v>137</v>
      </c>
      <c r="C9" s="169" t="s">
        <v>145</v>
      </c>
      <c r="D9" s="169" t="s">
        <v>292</v>
      </c>
      <c r="E9" s="243"/>
      <c r="F9" s="244"/>
      <c r="G9" s="245"/>
      <c r="I9" s="193"/>
      <c r="J9" s="193"/>
      <c r="K9" s="193"/>
    </row>
    <row r="10" spans="1:11" ht="20.399999999999999" thickBot="1" x14ac:dyDescent="0.35">
      <c r="A10" s="246" t="s">
        <v>291</v>
      </c>
      <c r="B10" s="247"/>
      <c r="C10" s="248"/>
      <c r="I10" s="78"/>
      <c r="J10" s="78"/>
      <c r="K10" s="78"/>
    </row>
    <row r="11" spans="1:11" x14ac:dyDescent="0.3">
      <c r="A11" s="139">
        <f>0.5*G1</f>
        <v>0</v>
      </c>
      <c r="B11" s="169" t="s">
        <v>137</v>
      </c>
      <c r="C11" s="169" t="s">
        <v>145</v>
      </c>
      <c r="D11" s="169" t="s">
        <v>298</v>
      </c>
      <c r="E11" s="240" t="s">
        <v>297</v>
      </c>
      <c r="F11" s="241"/>
      <c r="G11" s="242"/>
      <c r="I11" s="194"/>
      <c r="J11" s="193"/>
      <c r="K11" s="193"/>
    </row>
    <row r="12" spans="1:11" ht="16.8" thickBot="1" x14ac:dyDescent="0.35">
      <c r="A12" s="139">
        <f>0.5*G1</f>
        <v>0</v>
      </c>
      <c r="B12" s="169" t="s">
        <v>137</v>
      </c>
      <c r="C12" s="169" t="s">
        <v>147</v>
      </c>
      <c r="D12" s="169" t="s">
        <v>294</v>
      </c>
      <c r="E12" s="243"/>
      <c r="F12" s="244"/>
      <c r="G12" s="245"/>
      <c r="I12" s="193"/>
      <c r="J12" s="193"/>
      <c r="K12" s="193"/>
    </row>
  </sheetData>
  <sheetProtection algorithmName="SHA-512" hashValue="JSyjh1aUcifFx7pNVzQGPwwYZatMNDgJ9KQkZZI0SSvFJOMzeW9SKzmu6O5cCfUeEUQlnbT/UYItFW3Zb6i6Ow==" saltValue="sRTQLTKyfkb7beBwwlog4Q==" spinCount="100000" sheet="1" objects="1" scenarios="1"/>
  <protectedRanges>
    <protectedRange sqref="G1" name="範圍1"/>
  </protectedRanges>
  <mergeCells count="6">
    <mergeCell ref="E11:G12"/>
    <mergeCell ref="A1:C1"/>
    <mergeCell ref="A5:C5"/>
    <mergeCell ref="A10:C10"/>
    <mergeCell ref="E2:G4"/>
    <mergeCell ref="E6:G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8F25-3AB5-415B-B7BF-EA86E9C3C369}">
  <dimension ref="A1:R35"/>
  <sheetViews>
    <sheetView zoomScale="68" zoomScaleNormal="68" workbookViewId="0">
      <selection activeCell="N20" sqref="N20:O20"/>
    </sheetView>
  </sheetViews>
  <sheetFormatPr defaultRowHeight="16.2" x14ac:dyDescent="0.3"/>
  <cols>
    <col min="1" max="1" width="55.109375" customWidth="1"/>
    <col min="2" max="2" width="52.109375" customWidth="1"/>
    <col min="3" max="3" width="10.109375" customWidth="1"/>
    <col min="6" max="6" width="10.33203125" customWidth="1"/>
    <col min="8" max="8" width="14.44140625" customWidth="1"/>
    <col min="11" max="11" width="9.109375" customWidth="1"/>
    <col min="12" max="12" width="19.88671875" customWidth="1"/>
    <col min="13" max="13" width="11.77734375" customWidth="1"/>
    <col min="14" max="14" width="22.5546875" customWidth="1"/>
    <col min="15" max="15" width="8.21875" customWidth="1"/>
    <col min="16" max="16" width="7.6640625" customWidth="1"/>
    <col min="17" max="17" width="9.88671875" customWidth="1"/>
    <col min="18" max="18" width="11.44140625" customWidth="1"/>
  </cols>
  <sheetData>
    <row r="1" spans="1:15" ht="20.399999999999999" thickBot="1" x14ac:dyDescent="0.35">
      <c r="A1" s="274" t="s">
        <v>55</v>
      </c>
      <c r="B1" s="274"/>
      <c r="C1" s="274"/>
      <c r="D1" s="274"/>
      <c r="E1" s="274"/>
      <c r="F1" s="274"/>
      <c r="G1" s="274"/>
      <c r="H1" s="274"/>
      <c r="I1" s="274"/>
      <c r="J1" s="274"/>
      <c r="L1" s="34" t="s">
        <v>97</v>
      </c>
      <c r="M1" s="79"/>
    </row>
    <row r="2" spans="1:15" ht="20.399999999999999" thickBot="1" x14ac:dyDescent="0.35">
      <c r="A2" s="35"/>
      <c r="B2" s="41" t="s">
        <v>56</v>
      </c>
      <c r="C2" s="209"/>
      <c r="D2" s="42" t="s">
        <v>61</v>
      </c>
      <c r="H2" s="280" t="s">
        <v>76</v>
      </c>
      <c r="I2" s="280"/>
      <c r="J2" s="280"/>
      <c r="K2" s="280"/>
      <c r="L2" s="280"/>
      <c r="M2" s="92"/>
    </row>
    <row r="3" spans="1:15" ht="20.399999999999999" thickBot="1" x14ac:dyDescent="0.35">
      <c r="A3" s="275" t="s">
        <v>6</v>
      </c>
      <c r="B3" s="260"/>
      <c r="C3" s="260"/>
      <c r="D3" s="260"/>
      <c r="E3" s="276"/>
      <c r="F3" s="276"/>
      <c r="G3" s="276"/>
      <c r="H3" s="276"/>
      <c r="I3" s="276"/>
      <c r="J3" s="276"/>
      <c r="K3" s="276"/>
      <c r="L3" s="276"/>
      <c r="M3" s="35"/>
      <c r="N3" s="262"/>
      <c r="O3" s="262"/>
    </row>
    <row r="4" spans="1:15" ht="18" x14ac:dyDescent="0.3">
      <c r="A4" s="59" t="s">
        <v>44</v>
      </c>
      <c r="B4" s="60" t="s">
        <v>73</v>
      </c>
      <c r="C4" s="252" t="s">
        <v>98</v>
      </c>
      <c r="D4" s="253"/>
      <c r="E4" s="253"/>
      <c r="F4" s="253"/>
      <c r="G4" s="253"/>
      <c r="H4" s="253"/>
      <c r="I4" s="253"/>
      <c r="J4" s="253"/>
      <c r="K4" s="253"/>
      <c r="L4" s="254"/>
      <c r="M4" s="93"/>
      <c r="N4" s="40"/>
      <c r="O4" s="38"/>
    </row>
    <row r="5" spans="1:15" x14ac:dyDescent="0.3">
      <c r="A5" s="98" t="s">
        <v>0</v>
      </c>
      <c r="B5" s="39" t="s">
        <v>83</v>
      </c>
      <c r="C5" s="44">
        <f>(C2*0.6) * (F5/10)</f>
        <v>0</v>
      </c>
      <c r="D5" s="89" t="s">
        <v>57</v>
      </c>
      <c r="E5" s="89" t="s">
        <v>37</v>
      </c>
      <c r="F5" s="36">
        <f>MAX(10, CEILING(I5*24, 10))</f>
        <v>10</v>
      </c>
      <c r="G5" s="89" t="s">
        <v>58</v>
      </c>
      <c r="H5" s="29" t="s">
        <v>62</v>
      </c>
      <c r="I5" s="210"/>
      <c r="J5" s="89" t="s">
        <v>59</v>
      </c>
      <c r="K5" s="105" t="e">
        <f>C5/F5*I5*1000/60/C2</f>
        <v>#DIV/0!</v>
      </c>
      <c r="L5" s="111" t="s">
        <v>60</v>
      </c>
      <c r="M5" s="94"/>
      <c r="N5" s="281"/>
      <c r="O5" s="282"/>
    </row>
    <row r="6" spans="1:15" x14ac:dyDescent="0.3">
      <c r="A6" s="98" t="s">
        <v>1</v>
      </c>
      <c r="B6" s="39" t="s">
        <v>84</v>
      </c>
      <c r="C6" s="44">
        <f>(C2*0.6) * (F6/5)</f>
        <v>0</v>
      </c>
      <c r="D6" s="89" t="s">
        <v>57</v>
      </c>
      <c r="E6" s="89" t="s">
        <v>37</v>
      </c>
      <c r="F6" s="36">
        <f>MAX(5, CEILING(I6*24, 5))</f>
        <v>5</v>
      </c>
      <c r="G6" s="89" t="s">
        <v>58</v>
      </c>
      <c r="H6" s="29" t="s">
        <v>63</v>
      </c>
      <c r="I6" s="210"/>
      <c r="J6" s="89" t="s">
        <v>59</v>
      </c>
      <c r="K6" s="105" t="e">
        <f>C6/F6*I6*1000/60/C2</f>
        <v>#DIV/0!</v>
      </c>
      <c r="L6" s="111" t="s">
        <v>60</v>
      </c>
      <c r="M6" s="94"/>
      <c r="N6" s="262"/>
      <c r="O6" s="236"/>
    </row>
    <row r="7" spans="1:15" x14ac:dyDescent="0.3">
      <c r="A7" s="98" t="s">
        <v>2</v>
      </c>
      <c r="B7" s="39" t="s">
        <v>85</v>
      </c>
      <c r="C7" s="44">
        <f>(C2*6) * (F7/20)</f>
        <v>0</v>
      </c>
      <c r="D7" s="89" t="s">
        <v>57</v>
      </c>
      <c r="E7" s="89" t="s">
        <v>37</v>
      </c>
      <c r="F7" s="36">
        <f>MAX(20, CEILING(I7*24, 20))</f>
        <v>20</v>
      </c>
      <c r="G7" s="89" t="s">
        <v>58</v>
      </c>
      <c r="H7" s="29" t="s">
        <v>64</v>
      </c>
      <c r="I7" s="210"/>
      <c r="J7" s="89" t="s">
        <v>59</v>
      </c>
      <c r="K7" s="105" t="e">
        <f>C7/F7*I7*1000/60/C2</f>
        <v>#DIV/0!</v>
      </c>
      <c r="L7" s="111" t="s">
        <v>60</v>
      </c>
      <c r="M7" s="94"/>
      <c r="N7" s="262"/>
      <c r="O7" s="236"/>
    </row>
    <row r="8" spans="1:15" x14ac:dyDescent="0.3">
      <c r="A8" s="98" t="s">
        <v>3</v>
      </c>
      <c r="B8" s="39" t="s">
        <v>86</v>
      </c>
      <c r="C8" s="45">
        <f>(C2*6) * (F8/10)</f>
        <v>0</v>
      </c>
      <c r="D8" s="89" t="s">
        <v>57</v>
      </c>
      <c r="E8" s="89" t="s">
        <v>37</v>
      </c>
      <c r="F8" s="36">
        <f>MAX(10, CEILING(I8*24, 5))</f>
        <v>10</v>
      </c>
      <c r="G8" s="89" t="s">
        <v>58</v>
      </c>
      <c r="H8" s="29" t="s">
        <v>65</v>
      </c>
      <c r="I8" s="210"/>
      <c r="J8" s="89" t="s">
        <v>59</v>
      </c>
      <c r="K8" s="105" t="e">
        <f>C8/F8*I8*1000/60/C2</f>
        <v>#DIV/0!</v>
      </c>
      <c r="L8" s="111" t="s">
        <v>60</v>
      </c>
      <c r="M8" s="94"/>
      <c r="N8" s="262"/>
      <c r="O8" s="236"/>
    </row>
    <row r="9" spans="1:15" ht="16.8" thickBot="1" x14ac:dyDescent="0.35">
      <c r="A9" s="99" t="s">
        <v>4</v>
      </c>
      <c r="B9" s="43" t="s">
        <v>87</v>
      </c>
      <c r="C9" s="44">
        <f>(C2*6) * (F9/5)</f>
        <v>0</v>
      </c>
      <c r="D9" s="89" t="s">
        <v>57</v>
      </c>
      <c r="E9" s="89" t="s">
        <v>37</v>
      </c>
      <c r="F9" s="36">
        <f>MAX(5, CEILING(I9*24, 5))</f>
        <v>5</v>
      </c>
      <c r="G9" s="89" t="s">
        <v>58</v>
      </c>
      <c r="H9" s="29" t="s">
        <v>66</v>
      </c>
      <c r="I9" s="210"/>
      <c r="J9" s="89" t="s">
        <v>59</v>
      </c>
      <c r="K9" s="105" t="e">
        <f>C9/F9*I9*1000/60/C2</f>
        <v>#DIV/0!</v>
      </c>
      <c r="L9" s="111" t="s">
        <v>60</v>
      </c>
      <c r="M9" s="94"/>
      <c r="N9" s="262"/>
      <c r="O9" s="236"/>
    </row>
    <row r="10" spans="1:15" x14ac:dyDescent="0.3">
      <c r="A10" s="72"/>
      <c r="B10" s="73"/>
      <c r="C10" s="44">
        <f>(C2*0.6) * (F10/20)</f>
        <v>0</v>
      </c>
      <c r="D10" s="89" t="s">
        <v>57</v>
      </c>
      <c r="E10" s="89" t="s">
        <v>37</v>
      </c>
      <c r="F10" s="36">
        <f>MAX(20, CEILING(I10*24, 20))</f>
        <v>20</v>
      </c>
      <c r="G10" s="89" t="s">
        <v>58</v>
      </c>
      <c r="H10" s="29" t="s">
        <v>67</v>
      </c>
      <c r="I10" s="210"/>
      <c r="J10" s="89" t="s">
        <v>59</v>
      </c>
      <c r="K10" s="105" t="e">
        <f>C10/F10*I10*1000/60/C2</f>
        <v>#DIV/0!</v>
      </c>
      <c r="L10" s="111" t="s">
        <v>60</v>
      </c>
      <c r="M10" s="94"/>
      <c r="N10" s="34"/>
      <c r="O10" s="34"/>
    </row>
    <row r="11" spans="1:15" x14ac:dyDescent="0.3">
      <c r="A11" s="112"/>
      <c r="B11" s="113"/>
      <c r="C11" s="44">
        <f>(C2*0.6) * (F11/50)</f>
        <v>0</v>
      </c>
      <c r="D11" s="89" t="s">
        <v>57</v>
      </c>
      <c r="E11" s="89" t="s">
        <v>37</v>
      </c>
      <c r="F11" s="36">
        <f>MAX(50, CEILING(I11*24, 50))</f>
        <v>50</v>
      </c>
      <c r="G11" s="89" t="s">
        <v>58</v>
      </c>
      <c r="H11" s="29" t="s">
        <v>68</v>
      </c>
      <c r="I11" s="210"/>
      <c r="J11" s="89" t="s">
        <v>59</v>
      </c>
      <c r="K11" s="105" t="e">
        <f>C11/F11*I11*1000/60/C2</f>
        <v>#DIV/0!</v>
      </c>
      <c r="L11" s="111" t="s">
        <v>60</v>
      </c>
      <c r="M11" s="94"/>
      <c r="N11" s="34"/>
      <c r="O11" s="34"/>
    </row>
    <row r="12" spans="1:15" ht="16.8" thickBot="1" x14ac:dyDescent="0.35">
      <c r="A12" s="112"/>
      <c r="B12" s="113"/>
      <c r="C12" s="46">
        <f>(C2*0.6) * (F12/100)</f>
        <v>0</v>
      </c>
      <c r="D12" s="110" t="s">
        <v>57</v>
      </c>
      <c r="E12" s="110" t="s">
        <v>37</v>
      </c>
      <c r="F12" s="48">
        <f>MAX(100, CEILING(I12*24, 100))</f>
        <v>100</v>
      </c>
      <c r="G12" s="110" t="s">
        <v>58</v>
      </c>
      <c r="H12" s="49" t="s">
        <v>69</v>
      </c>
      <c r="I12" s="211"/>
      <c r="J12" s="110" t="s">
        <v>59</v>
      </c>
      <c r="K12" s="76" t="e">
        <f>C12/F12*I12*1000/60/C2</f>
        <v>#DIV/0!</v>
      </c>
      <c r="L12" s="114" t="s">
        <v>60</v>
      </c>
      <c r="M12" s="94"/>
      <c r="N12" s="34"/>
      <c r="O12" s="34"/>
    </row>
    <row r="13" spans="1:15" x14ac:dyDescent="0.3">
      <c r="A13" s="277" t="s">
        <v>70</v>
      </c>
      <c r="B13" s="51" t="s">
        <v>82</v>
      </c>
      <c r="C13" s="54">
        <f>(C2*0.6) * (F13/10)</f>
        <v>0</v>
      </c>
      <c r="D13" s="109" t="s">
        <v>71</v>
      </c>
      <c r="E13" s="109" t="s">
        <v>37</v>
      </c>
      <c r="F13" s="56">
        <f>MAX(10, CEILING(I13*24, 10))</f>
        <v>10</v>
      </c>
      <c r="G13" s="109" t="s">
        <v>58</v>
      </c>
      <c r="H13" s="57" t="s">
        <v>62</v>
      </c>
      <c r="I13" s="212"/>
      <c r="J13" s="109" t="s">
        <v>59</v>
      </c>
      <c r="K13" s="75" t="e">
        <f>C13/F13*I13*1000/60/C2</f>
        <v>#DIV/0!</v>
      </c>
      <c r="L13" s="115" t="s">
        <v>72</v>
      </c>
      <c r="M13" s="94"/>
      <c r="N13" s="262"/>
      <c r="O13" s="236"/>
    </row>
    <row r="14" spans="1:15" x14ac:dyDescent="0.3">
      <c r="A14" s="278"/>
      <c r="B14" s="52" t="s">
        <v>88</v>
      </c>
      <c r="C14" s="44">
        <f>(C2*0.6) * (F14/5)</f>
        <v>0</v>
      </c>
      <c r="D14" s="89" t="s">
        <v>71</v>
      </c>
      <c r="E14" s="89" t="s">
        <v>37</v>
      </c>
      <c r="F14" s="36">
        <f>MAX(5, CEILING(I14*24, 5))</f>
        <v>5</v>
      </c>
      <c r="G14" s="89" t="s">
        <v>58</v>
      </c>
      <c r="H14" s="29" t="s">
        <v>63</v>
      </c>
      <c r="I14" s="210"/>
      <c r="J14" s="89" t="s">
        <v>59</v>
      </c>
      <c r="K14" s="105" t="e">
        <f>C14/F14*I14*1000/60/C2</f>
        <v>#DIV/0!</v>
      </c>
      <c r="L14" s="111" t="s">
        <v>72</v>
      </c>
      <c r="M14" s="94"/>
      <c r="N14" s="262"/>
      <c r="O14" s="236"/>
    </row>
    <row r="15" spans="1:15" ht="16.8" thickBot="1" x14ac:dyDescent="0.35">
      <c r="A15" s="279"/>
      <c r="B15" s="53"/>
      <c r="C15" s="46">
        <f>(C2*6) * (F15/20)</f>
        <v>0</v>
      </c>
      <c r="D15" s="110" t="s">
        <v>71</v>
      </c>
      <c r="E15" s="110" t="s">
        <v>37</v>
      </c>
      <c r="F15" s="48">
        <f>MAX(20, CEILING(I15*24, 20))</f>
        <v>20</v>
      </c>
      <c r="G15" s="110" t="s">
        <v>58</v>
      </c>
      <c r="H15" s="49" t="s">
        <v>64</v>
      </c>
      <c r="I15" s="211"/>
      <c r="J15" s="110" t="s">
        <v>59</v>
      </c>
      <c r="K15" s="76" t="e">
        <f>C15/F15*I15*1000/60/C2</f>
        <v>#DIV/0!</v>
      </c>
      <c r="L15" s="114" t="s">
        <v>72</v>
      </c>
      <c r="M15" s="94"/>
      <c r="N15" s="34"/>
      <c r="O15" s="34"/>
    </row>
    <row r="16" spans="1:15" ht="20.399999999999999" thickBot="1" x14ac:dyDescent="0.35">
      <c r="A16" s="258" t="s">
        <v>22</v>
      </c>
      <c r="B16" s="259"/>
      <c r="C16" s="260"/>
      <c r="D16" s="260"/>
      <c r="E16" s="260"/>
      <c r="F16" s="260"/>
      <c r="G16" s="260"/>
      <c r="H16" s="260"/>
      <c r="I16" s="260"/>
      <c r="J16" s="260"/>
      <c r="K16" s="260"/>
      <c r="L16" s="261"/>
      <c r="M16" s="35"/>
      <c r="N16" s="34"/>
      <c r="O16" s="34"/>
    </row>
    <row r="17" spans="1:18" ht="18" x14ac:dyDescent="0.3">
      <c r="A17" s="59" t="s">
        <v>44</v>
      </c>
      <c r="B17" s="61" t="s">
        <v>73</v>
      </c>
      <c r="C17" s="252" t="s">
        <v>98</v>
      </c>
      <c r="D17" s="253"/>
      <c r="E17" s="253"/>
      <c r="F17" s="253"/>
      <c r="G17" s="253"/>
      <c r="H17" s="253"/>
      <c r="I17" s="253"/>
      <c r="J17" s="253"/>
      <c r="K17" s="253"/>
      <c r="L17" s="254"/>
      <c r="M17" s="93"/>
      <c r="N17" s="34"/>
      <c r="O17" s="34"/>
    </row>
    <row r="18" spans="1:18" x14ac:dyDescent="0.3">
      <c r="A18" s="100" t="s">
        <v>23</v>
      </c>
      <c r="B18" s="62" t="s">
        <v>89</v>
      </c>
      <c r="C18" s="44">
        <f>(C2*0.6) * (F18/10)</f>
        <v>0</v>
      </c>
      <c r="D18" s="89" t="s">
        <v>57</v>
      </c>
      <c r="E18" s="89" t="s">
        <v>37</v>
      </c>
      <c r="F18" s="36">
        <f>MAX(10, CEILING(I18*24, 10))</f>
        <v>10</v>
      </c>
      <c r="G18" s="89" t="s">
        <v>58</v>
      </c>
      <c r="H18" s="29" t="s">
        <v>62</v>
      </c>
      <c r="I18" s="210"/>
      <c r="J18" s="89" t="s">
        <v>59</v>
      </c>
      <c r="K18" s="105" t="e">
        <f>C18/F18*I18*1000/60/C2</f>
        <v>#DIV/0!</v>
      </c>
      <c r="L18" s="111" t="s">
        <v>60</v>
      </c>
      <c r="M18" s="94"/>
      <c r="N18" s="262"/>
      <c r="O18" s="236"/>
    </row>
    <row r="19" spans="1:18" x14ac:dyDescent="0.3">
      <c r="A19" s="100" t="s">
        <v>24</v>
      </c>
      <c r="B19" s="62" t="s">
        <v>90</v>
      </c>
      <c r="C19" s="44">
        <f>(C2*0.6) * (F19/5)</f>
        <v>0</v>
      </c>
      <c r="D19" s="89" t="s">
        <v>57</v>
      </c>
      <c r="E19" s="89" t="s">
        <v>37</v>
      </c>
      <c r="F19" s="36">
        <f>MAX(5, CEILING(I19*24, 5))</f>
        <v>5</v>
      </c>
      <c r="G19" s="89" t="s">
        <v>58</v>
      </c>
      <c r="H19" s="29" t="s">
        <v>63</v>
      </c>
      <c r="I19" s="210"/>
      <c r="J19" s="89" t="s">
        <v>59</v>
      </c>
      <c r="K19" s="105" t="e">
        <f>C19/F19*I19*1000/60/C2</f>
        <v>#DIV/0!</v>
      </c>
      <c r="L19" s="111" t="s">
        <v>60</v>
      </c>
      <c r="M19" s="94"/>
      <c r="N19" s="262"/>
      <c r="O19" s="236"/>
    </row>
    <row r="20" spans="1:18" x14ac:dyDescent="0.3">
      <c r="A20" s="100" t="s">
        <v>25</v>
      </c>
      <c r="B20" s="62" t="s">
        <v>91</v>
      </c>
      <c r="C20" s="44">
        <f>(C2*6) * (F20/20)</f>
        <v>0</v>
      </c>
      <c r="D20" s="89" t="s">
        <v>57</v>
      </c>
      <c r="E20" s="89" t="s">
        <v>37</v>
      </c>
      <c r="F20" s="36">
        <f>MAX(20, CEILING(I20*24, 20))</f>
        <v>20</v>
      </c>
      <c r="G20" s="89" t="s">
        <v>58</v>
      </c>
      <c r="H20" s="29" t="s">
        <v>64</v>
      </c>
      <c r="I20" s="210"/>
      <c r="J20" s="89" t="s">
        <v>59</v>
      </c>
      <c r="K20" s="105" t="e">
        <f>C20/F20*I20*1000/60/C2</f>
        <v>#DIV/0!</v>
      </c>
      <c r="L20" s="111" t="s">
        <v>60</v>
      </c>
      <c r="M20" s="94"/>
      <c r="N20" s="262"/>
      <c r="O20" s="236"/>
    </row>
    <row r="21" spans="1:18" x14ac:dyDescent="0.3">
      <c r="A21" s="100" t="s">
        <v>26</v>
      </c>
      <c r="B21" s="62" t="s">
        <v>92</v>
      </c>
      <c r="C21" s="45">
        <f>(C2*6) * (F21/10)</f>
        <v>0</v>
      </c>
      <c r="D21" s="89" t="s">
        <v>57</v>
      </c>
      <c r="E21" s="89" t="s">
        <v>37</v>
      </c>
      <c r="F21" s="36">
        <f>MAX(10, CEILING(I21*24, 5))</f>
        <v>10</v>
      </c>
      <c r="G21" s="89" t="s">
        <v>58</v>
      </c>
      <c r="H21" s="29" t="s">
        <v>65</v>
      </c>
      <c r="I21" s="210"/>
      <c r="J21" s="89" t="s">
        <v>59</v>
      </c>
      <c r="K21" s="105" t="e">
        <f>C21/F21*I21*1000/60/C2</f>
        <v>#DIV/0!</v>
      </c>
      <c r="L21" s="111" t="s">
        <v>60</v>
      </c>
      <c r="M21" s="94"/>
      <c r="N21" s="262"/>
      <c r="O21" s="236"/>
    </row>
    <row r="22" spans="1:18" ht="16.8" thickBot="1" x14ac:dyDescent="0.35">
      <c r="A22" s="101" t="s">
        <v>27</v>
      </c>
      <c r="B22" s="63" t="s">
        <v>93</v>
      </c>
      <c r="C22" s="44">
        <f>(C2*6) * (F22/5)</f>
        <v>0</v>
      </c>
      <c r="D22" s="89" t="s">
        <v>57</v>
      </c>
      <c r="E22" s="89" t="s">
        <v>37</v>
      </c>
      <c r="F22" s="36">
        <f>MAX(5, CEILING(I22*24, 5))</f>
        <v>5</v>
      </c>
      <c r="G22" s="89" t="s">
        <v>58</v>
      </c>
      <c r="H22" s="29" t="s">
        <v>66</v>
      </c>
      <c r="I22" s="210"/>
      <c r="J22" s="89" t="s">
        <v>59</v>
      </c>
      <c r="K22" s="105" t="e">
        <f>C22/F22*I22*1000/60/C2</f>
        <v>#DIV/0!</v>
      </c>
      <c r="L22" s="111" t="s">
        <v>60</v>
      </c>
      <c r="M22" s="94"/>
      <c r="N22" s="262"/>
      <c r="O22" s="236"/>
    </row>
    <row r="23" spans="1:18" x14ac:dyDescent="0.3">
      <c r="A23" s="97"/>
      <c r="B23" s="97"/>
      <c r="C23" s="44">
        <f>(C2*0.6) * (F23/20)</f>
        <v>0</v>
      </c>
      <c r="D23" s="89" t="s">
        <v>57</v>
      </c>
      <c r="E23" s="89" t="s">
        <v>37</v>
      </c>
      <c r="F23" s="36">
        <f>MAX(20, CEILING(I23*24, 20))</f>
        <v>20</v>
      </c>
      <c r="G23" s="89" t="s">
        <v>58</v>
      </c>
      <c r="H23" s="29" t="s">
        <v>67</v>
      </c>
      <c r="I23" s="210"/>
      <c r="J23" s="89" t="s">
        <v>59</v>
      </c>
      <c r="K23" s="105" t="e">
        <f>C23/F23*I23*1000/60/C2</f>
        <v>#DIV/0!</v>
      </c>
      <c r="L23" s="111" t="s">
        <v>60</v>
      </c>
      <c r="M23" s="94"/>
      <c r="N23" s="34"/>
      <c r="O23" s="34"/>
    </row>
    <row r="24" spans="1:18" x14ac:dyDescent="0.3">
      <c r="A24" s="97"/>
      <c r="B24" s="97"/>
      <c r="C24" s="44">
        <f>(C2*0.6) * (F24/50)</f>
        <v>0</v>
      </c>
      <c r="D24" s="89" t="s">
        <v>57</v>
      </c>
      <c r="E24" s="89" t="s">
        <v>37</v>
      </c>
      <c r="F24" s="36">
        <f>MAX(50, CEILING(I24*24, 50))</f>
        <v>50</v>
      </c>
      <c r="G24" s="89" t="s">
        <v>58</v>
      </c>
      <c r="H24" s="29" t="s">
        <v>68</v>
      </c>
      <c r="I24" s="210"/>
      <c r="J24" s="89" t="s">
        <v>59</v>
      </c>
      <c r="K24" s="105" t="e">
        <f>C24/F24*I24*1000/60/C2</f>
        <v>#DIV/0!</v>
      </c>
      <c r="L24" s="111" t="s">
        <v>60</v>
      </c>
      <c r="M24" s="94"/>
      <c r="N24" s="34"/>
      <c r="O24" s="34"/>
    </row>
    <row r="25" spans="1:18" ht="16.8" thickBot="1" x14ac:dyDescent="0.35">
      <c r="A25" s="106"/>
      <c r="B25" s="106"/>
      <c r="C25" s="44">
        <f>(C2*0.6) * (F25/100)</f>
        <v>0</v>
      </c>
      <c r="D25" s="89" t="s">
        <v>57</v>
      </c>
      <c r="E25" s="89" t="s">
        <v>37</v>
      </c>
      <c r="F25" s="36">
        <f>MAX(100, CEILING(I25*24, 100))</f>
        <v>100</v>
      </c>
      <c r="G25" s="89" t="s">
        <v>58</v>
      </c>
      <c r="H25" s="29" t="s">
        <v>69</v>
      </c>
      <c r="I25" s="210"/>
      <c r="J25" s="89" t="s">
        <v>59</v>
      </c>
      <c r="K25" s="105" t="e">
        <f>C25/F25*I25*1000/60/C2</f>
        <v>#DIV/0!</v>
      </c>
      <c r="L25" s="111" t="s">
        <v>60</v>
      </c>
      <c r="M25" s="94"/>
      <c r="N25" s="34"/>
      <c r="O25" s="34"/>
    </row>
    <row r="26" spans="1:18" ht="20.399999999999999" thickBot="1" x14ac:dyDescent="0.35">
      <c r="A26" s="270" t="s">
        <v>101</v>
      </c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2"/>
      <c r="M26" s="35"/>
      <c r="N26" s="34"/>
      <c r="O26" s="34"/>
      <c r="P26" s="79"/>
    </row>
    <row r="27" spans="1:18" ht="16.8" thickBot="1" x14ac:dyDescent="0.35">
      <c r="A27" s="102" t="s">
        <v>106</v>
      </c>
      <c r="B27" s="64" t="s">
        <v>94</v>
      </c>
      <c r="C27" s="65" cm="1">
        <f t="array" ref="C27">_xlfn.IFS(C2&lt;2, C2*25, C2&lt;4, C2*12.5, C2&lt;=8, C2*6.25) * (F27/50)</f>
        <v>0</v>
      </c>
      <c r="D27" s="66" t="s">
        <v>71</v>
      </c>
      <c r="E27" s="68" t="s">
        <v>34</v>
      </c>
      <c r="F27" s="65">
        <f>MAX(50, CEILING(I3*24, 50))</f>
        <v>50</v>
      </c>
      <c r="G27" s="66" t="s">
        <v>58</v>
      </c>
      <c r="H27" s="66"/>
      <c r="I27" s="65">
        <f>0.01*C2/0.75</f>
        <v>0</v>
      </c>
      <c r="J27" s="66" t="s">
        <v>59</v>
      </c>
      <c r="K27" s="65" t="e">
        <f>C27/F27*I27/C2</f>
        <v>#DIV/0!</v>
      </c>
      <c r="L27" s="66" t="s">
        <v>74</v>
      </c>
      <c r="M27" s="273" t="s">
        <v>108</v>
      </c>
      <c r="N27" s="273"/>
      <c r="O27" s="213">
        <v>0.06</v>
      </c>
      <c r="P27" s="68" t="s">
        <v>59</v>
      </c>
      <c r="Q27" s="65" t="e">
        <f>C27/F27*O27/C2</f>
        <v>#DIV/0!</v>
      </c>
      <c r="R27" s="42" t="s">
        <v>107</v>
      </c>
    </row>
    <row r="28" spans="1:18" ht="16.8" thickBot="1" x14ac:dyDescent="0.35">
      <c r="A28" s="102" t="s">
        <v>21</v>
      </c>
      <c r="B28" s="64" t="s">
        <v>100</v>
      </c>
      <c r="C28" s="65" t="e">
        <f>20 * (F28 / (200/C2/6))</f>
        <v>#DIV/0!</v>
      </c>
      <c r="D28" s="66" t="s">
        <v>75</v>
      </c>
      <c r="E28" s="68" t="s">
        <v>37</v>
      </c>
      <c r="F28" s="65" t="e">
        <f>MAX((200/C2/6), CEILING(I28*24, (200/C2/6)))</f>
        <v>#DIV/0!</v>
      </c>
      <c r="G28" s="66" t="s">
        <v>58</v>
      </c>
      <c r="H28" s="67" t="s">
        <v>65</v>
      </c>
      <c r="I28" s="213"/>
      <c r="J28" s="66" t="s">
        <v>59</v>
      </c>
      <c r="K28" s="65" t="e">
        <f>C28/F28*I28*1000/60/C2</f>
        <v>#DIV/0!</v>
      </c>
      <c r="L28" s="42" t="s">
        <v>99</v>
      </c>
      <c r="M28" s="37"/>
      <c r="N28" s="236"/>
      <c r="O28" s="236"/>
    </row>
    <row r="29" spans="1:18" ht="16.8" thickBot="1" x14ac:dyDescent="0.35">
      <c r="A29" s="102" t="s">
        <v>49</v>
      </c>
      <c r="B29" s="64" t="s">
        <v>95</v>
      </c>
      <c r="C29" s="65" t="e">
        <f>20 * (F29 / (20/C2/1))</f>
        <v>#DIV/0!</v>
      </c>
      <c r="D29" s="70" t="s">
        <v>57</v>
      </c>
      <c r="E29" s="68" t="s">
        <v>34</v>
      </c>
      <c r="F29" s="65" t="e">
        <f>MAX((20/C2/1), CEILING(I29*24, (20/C2/1)))</f>
        <v>#DIV/0!</v>
      </c>
      <c r="G29" s="70" t="s">
        <v>58</v>
      </c>
      <c r="H29" s="67" t="s">
        <v>62</v>
      </c>
      <c r="I29" s="213"/>
      <c r="J29" s="68" t="s">
        <v>59</v>
      </c>
      <c r="K29" s="65" t="e">
        <f>C29/F29*I29/C2</f>
        <v>#DIV/0!</v>
      </c>
      <c r="L29" s="71" t="s">
        <v>77</v>
      </c>
      <c r="M29" s="91"/>
      <c r="N29" s="257"/>
      <c r="O29" s="257"/>
    </row>
    <row r="30" spans="1:18" ht="16.8" thickBot="1" x14ac:dyDescent="0.35">
      <c r="A30" s="103" t="s">
        <v>155</v>
      </c>
      <c r="B30" s="143" t="s">
        <v>174</v>
      </c>
      <c r="C30" s="56">
        <v>1</v>
      </c>
      <c r="D30" s="70" t="s">
        <v>57</v>
      </c>
      <c r="E30" s="145" t="s">
        <v>34</v>
      </c>
      <c r="F30" s="56">
        <v>50</v>
      </c>
      <c r="G30" s="70" t="s">
        <v>58</v>
      </c>
      <c r="H30" s="57" t="s">
        <v>176</v>
      </c>
      <c r="I30" s="212"/>
      <c r="J30" s="145" t="s">
        <v>59</v>
      </c>
      <c r="K30" s="56" t="e">
        <f>C30/F30*I30/C2*1000</f>
        <v>#DIV/0!</v>
      </c>
      <c r="L30" s="170" t="s">
        <v>175</v>
      </c>
      <c r="M30" s="91" t="s">
        <v>177</v>
      </c>
      <c r="N30" s="144"/>
      <c r="O30" s="144"/>
    </row>
    <row r="31" spans="1:18" x14ac:dyDescent="0.3">
      <c r="A31" s="103" t="s">
        <v>80</v>
      </c>
      <c r="B31" s="255" t="s">
        <v>96</v>
      </c>
      <c r="C31" s="56">
        <f>(C2*0.6) * (F31/100)</f>
        <v>0</v>
      </c>
      <c r="D31" s="55" t="s">
        <v>71</v>
      </c>
      <c r="E31" s="109" t="s">
        <v>37</v>
      </c>
      <c r="F31" s="56">
        <f>MAX(100, CEILING(I31*24, 100))</f>
        <v>100</v>
      </c>
      <c r="G31" s="55" t="s">
        <v>58</v>
      </c>
      <c r="H31" s="57" t="s">
        <v>69</v>
      </c>
      <c r="I31" s="212"/>
      <c r="J31" s="55" t="s">
        <v>59</v>
      </c>
      <c r="K31" s="75" t="e">
        <f>C31/F31*I31*1000/60/C2</f>
        <v>#DIV/0!</v>
      </c>
      <c r="L31" s="58" t="s">
        <v>72</v>
      </c>
      <c r="M31" s="37"/>
      <c r="N31" s="236"/>
      <c r="O31" s="236"/>
    </row>
    <row r="32" spans="1:18" ht="16.8" thickBot="1" x14ac:dyDescent="0.35">
      <c r="A32" s="104" t="s">
        <v>81</v>
      </c>
      <c r="B32" s="256"/>
      <c r="C32" s="69">
        <v>20</v>
      </c>
      <c r="D32" s="47" t="s">
        <v>71</v>
      </c>
      <c r="E32" s="110" t="s">
        <v>37</v>
      </c>
      <c r="F32" s="69">
        <v>500</v>
      </c>
      <c r="G32" s="47" t="s">
        <v>58</v>
      </c>
      <c r="H32" s="49" t="s">
        <v>78</v>
      </c>
      <c r="I32" s="48"/>
      <c r="J32" s="47" t="s">
        <v>59</v>
      </c>
      <c r="K32" s="96" t="e">
        <f>C32/F32*I32*1000/60/C2</f>
        <v>#DIV/0!</v>
      </c>
      <c r="L32" s="50" t="s">
        <v>72</v>
      </c>
      <c r="M32" s="263" t="s">
        <v>79</v>
      </c>
      <c r="N32" s="262"/>
      <c r="O32" s="262"/>
    </row>
    <row r="33" spans="1:15" ht="16.8" thickBot="1" x14ac:dyDescent="0.35">
      <c r="A33" s="264" t="s">
        <v>109</v>
      </c>
      <c r="B33" s="265"/>
      <c r="C33" s="83" t="s">
        <v>102</v>
      </c>
      <c r="D33" s="56">
        <f>0.0125*C2</f>
        <v>0</v>
      </c>
      <c r="E33" s="80" t="s">
        <v>103</v>
      </c>
      <c r="F33" s="86"/>
      <c r="G33" s="86"/>
      <c r="H33" s="86"/>
      <c r="I33" s="87"/>
      <c r="J33" s="77"/>
      <c r="K33" s="77"/>
      <c r="L33" s="77"/>
      <c r="M33" s="77"/>
      <c r="N33" s="257"/>
      <c r="O33" s="257"/>
    </row>
    <row r="34" spans="1:15" ht="17.399999999999999" thickTop="1" thickBot="1" x14ac:dyDescent="0.35">
      <c r="A34" s="266"/>
      <c r="B34" s="267"/>
      <c r="C34" s="84" t="s">
        <v>104</v>
      </c>
      <c r="D34" s="95">
        <f>0.05*C2</f>
        <v>0</v>
      </c>
      <c r="E34" s="77" t="s">
        <v>103</v>
      </c>
      <c r="F34" s="74"/>
      <c r="G34" s="74"/>
      <c r="H34" s="74"/>
      <c r="I34" s="88"/>
      <c r="J34" s="78"/>
      <c r="K34" s="78"/>
      <c r="L34" s="78"/>
      <c r="M34" s="78"/>
    </row>
    <row r="35" spans="1:15" ht="17.399999999999999" thickTop="1" thickBot="1" x14ac:dyDescent="0.35">
      <c r="A35" s="268"/>
      <c r="B35" s="269"/>
      <c r="C35" s="85" t="s">
        <v>30</v>
      </c>
      <c r="D35" s="211"/>
      <c r="E35" s="81" t="s">
        <v>103</v>
      </c>
      <c r="F35" s="47" t="s">
        <v>105</v>
      </c>
      <c r="G35" s="82" t="e">
        <f>C32/F32*D35/C2*1000/60</f>
        <v>#DIV/0!</v>
      </c>
      <c r="H35" s="47" t="s">
        <v>72</v>
      </c>
      <c r="I35" s="50"/>
    </row>
  </sheetData>
  <sheetProtection algorithmName="SHA-512" hashValue="BvzPQPdoiGBDaIzczZQPgqIKrz8v64Lk4PwnWN0d6QqgNJlqyduXi+OxJU+L2CdjwQXCJ25lCKiohh3EuPK3kQ==" saltValue="DlNA6mf/VB+pieBeG1ZNLw==" spinCount="100000" sheet="1" objects="1" scenarios="1"/>
  <protectedRanges>
    <protectedRange sqref="D35" name="範圍6"/>
    <protectedRange sqref="I28:I31" name="範圍5"/>
    <protectedRange sqref="O27" name="範圍4"/>
    <protectedRange sqref="I18:I25" name="範圍3"/>
    <protectedRange sqref="I5:I15" name="範圍2"/>
    <protectedRange sqref="C2" name="範圍1"/>
  </protectedRanges>
  <mergeCells count="29">
    <mergeCell ref="A33:B35"/>
    <mergeCell ref="N18:O18"/>
    <mergeCell ref="A26:L26"/>
    <mergeCell ref="M27:N27"/>
    <mergeCell ref="A1:J1"/>
    <mergeCell ref="A3:L3"/>
    <mergeCell ref="A13:A15"/>
    <mergeCell ref="H2:L2"/>
    <mergeCell ref="N22:O22"/>
    <mergeCell ref="N13:O13"/>
    <mergeCell ref="N14:O14"/>
    <mergeCell ref="N3:O3"/>
    <mergeCell ref="N5:O5"/>
    <mergeCell ref="N6:O6"/>
    <mergeCell ref="N7:O7"/>
    <mergeCell ref="N8:O8"/>
    <mergeCell ref="N33:O33"/>
    <mergeCell ref="N19:O19"/>
    <mergeCell ref="N20:O20"/>
    <mergeCell ref="N21:O21"/>
    <mergeCell ref="M32:O32"/>
    <mergeCell ref="C4:L4"/>
    <mergeCell ref="C17:L17"/>
    <mergeCell ref="B31:B32"/>
    <mergeCell ref="N29:O29"/>
    <mergeCell ref="A16:L16"/>
    <mergeCell ref="N28:O28"/>
    <mergeCell ref="N31:O31"/>
    <mergeCell ref="N9:O9"/>
  </mergeCells>
  <phoneticPr fontId="1" type="noConversion"/>
  <pageMargins left="0.7" right="0.7" top="0.75" bottom="0.75" header="0.3" footer="0.3"/>
  <pageSetup paperSize="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097B-0C81-4D7B-A8C8-DD4C80BE05C8}">
  <dimension ref="A1:S5"/>
  <sheetViews>
    <sheetView zoomScale="90" zoomScaleNormal="90" workbookViewId="0">
      <selection activeCell="M24" sqref="M24"/>
    </sheetView>
  </sheetViews>
  <sheetFormatPr defaultRowHeight="16.2" x14ac:dyDescent="0.3"/>
  <cols>
    <col min="1" max="1" width="18.77734375" customWidth="1"/>
    <col min="2" max="2" width="19.33203125" customWidth="1"/>
    <col min="3" max="3" width="3.88671875" customWidth="1"/>
    <col min="9" max="9" width="17.88671875" customWidth="1"/>
    <col min="12" max="12" width="9.44140625" bestFit="1" customWidth="1"/>
    <col min="13" max="13" width="14.21875" customWidth="1"/>
    <col min="16" max="16" width="10.33203125" customWidth="1"/>
    <col min="17" max="17" width="11.21875" customWidth="1"/>
    <col min="18" max="18" width="11.5546875" customWidth="1"/>
  </cols>
  <sheetData>
    <row r="1" spans="1:19" ht="16.8" thickBot="1" x14ac:dyDescent="0.35">
      <c r="A1" s="118" t="s">
        <v>116</v>
      </c>
      <c r="B1" s="214"/>
      <c r="C1" s="34" t="s">
        <v>61</v>
      </c>
      <c r="I1" s="90" t="s">
        <v>125</v>
      </c>
      <c r="J1" s="117"/>
      <c r="K1" s="117"/>
      <c r="L1" s="117"/>
      <c r="M1" s="117"/>
      <c r="Q1" s="54" t="s">
        <v>123</v>
      </c>
      <c r="R1" s="124" t="s">
        <v>124</v>
      </c>
    </row>
    <row r="2" spans="1:19" ht="16.8" thickBot="1" x14ac:dyDescent="0.35">
      <c r="A2" s="119" t="s">
        <v>110</v>
      </c>
      <c r="B2" s="116" t="s">
        <v>115</v>
      </c>
      <c r="C2" s="116"/>
      <c r="D2" s="107">
        <v>1</v>
      </c>
      <c r="E2" s="68" t="s">
        <v>111</v>
      </c>
      <c r="F2" s="68" t="s">
        <v>34</v>
      </c>
      <c r="G2" s="107">
        <v>5</v>
      </c>
      <c r="H2" s="68" t="s">
        <v>58</v>
      </c>
      <c r="I2" s="67" t="s">
        <v>112</v>
      </c>
      <c r="J2" s="213"/>
      <c r="K2" s="68" t="s">
        <v>59</v>
      </c>
      <c r="L2" s="108" t="e">
        <f>100/G2*J2/B1</f>
        <v>#DIV/0!</v>
      </c>
      <c r="M2" s="68" t="s">
        <v>114</v>
      </c>
      <c r="N2" s="37" t="s">
        <v>113</v>
      </c>
      <c r="O2" s="34"/>
      <c r="P2" s="34"/>
      <c r="Q2" s="120">
        <f>B1*0.01</f>
        <v>0</v>
      </c>
      <c r="R2" s="121">
        <f>0.07*B1</f>
        <v>0</v>
      </c>
      <c r="S2" s="90" t="s">
        <v>59</v>
      </c>
    </row>
    <row r="3" spans="1:19" ht="16.8" thickBot="1" x14ac:dyDescent="0.35">
      <c r="D3" s="107">
        <v>1</v>
      </c>
      <c r="E3" s="68" t="s">
        <v>111</v>
      </c>
      <c r="F3" s="68" t="s">
        <v>34</v>
      </c>
      <c r="G3" s="107">
        <v>8.3330000000000002</v>
      </c>
      <c r="H3" s="68" t="s">
        <v>58</v>
      </c>
      <c r="I3" s="67" t="s">
        <v>117</v>
      </c>
      <c r="J3" s="213"/>
      <c r="K3" s="68" t="s">
        <v>59</v>
      </c>
      <c r="L3" s="108" t="e">
        <f>100/G3*J3/B1</f>
        <v>#DIV/0!</v>
      </c>
      <c r="M3" s="68" t="s">
        <v>114</v>
      </c>
      <c r="N3" s="37" t="s">
        <v>120</v>
      </c>
      <c r="Q3" s="120">
        <f>0.0166*B1</f>
        <v>0</v>
      </c>
      <c r="R3" s="121">
        <f>0.116*B1</f>
        <v>0</v>
      </c>
      <c r="S3" s="90" t="s">
        <v>59</v>
      </c>
    </row>
    <row r="4" spans="1:19" ht="16.8" thickBot="1" x14ac:dyDescent="0.35">
      <c r="D4" s="107">
        <v>1</v>
      </c>
      <c r="E4" s="68" t="s">
        <v>111</v>
      </c>
      <c r="F4" s="68" t="s">
        <v>34</v>
      </c>
      <c r="G4" s="107">
        <v>12.5</v>
      </c>
      <c r="H4" s="68" t="s">
        <v>58</v>
      </c>
      <c r="I4" s="67" t="s">
        <v>118</v>
      </c>
      <c r="J4" s="213"/>
      <c r="K4" s="68" t="s">
        <v>59</v>
      </c>
      <c r="L4" s="108" t="e">
        <f>100/G4*J4/B1</f>
        <v>#DIV/0!</v>
      </c>
      <c r="M4" s="68" t="s">
        <v>114</v>
      </c>
      <c r="N4" s="37" t="s">
        <v>121</v>
      </c>
      <c r="Q4" s="120">
        <f>0.025*B1</f>
        <v>0</v>
      </c>
      <c r="R4" s="121">
        <f>0.175*B1</f>
        <v>0</v>
      </c>
      <c r="S4" s="90" t="s">
        <v>103</v>
      </c>
    </row>
    <row r="5" spans="1:19" ht="16.8" thickBot="1" x14ac:dyDescent="0.35">
      <c r="D5" s="107">
        <v>1</v>
      </c>
      <c r="E5" s="68" t="s">
        <v>111</v>
      </c>
      <c r="F5" s="68" t="s">
        <v>34</v>
      </c>
      <c r="G5" s="107">
        <v>25</v>
      </c>
      <c r="H5" s="68" t="s">
        <v>58</v>
      </c>
      <c r="I5" s="67" t="s">
        <v>119</v>
      </c>
      <c r="J5" s="211"/>
      <c r="K5" s="110" t="s">
        <v>59</v>
      </c>
      <c r="L5" s="76" t="e">
        <f>100/G5*J5/B1</f>
        <v>#DIV/0!</v>
      </c>
      <c r="M5" s="110" t="s">
        <v>114</v>
      </c>
      <c r="N5" s="37" t="s">
        <v>122</v>
      </c>
      <c r="Q5" s="122">
        <f>0.05*B1</f>
        <v>0</v>
      </c>
      <c r="R5" s="123">
        <f>0.35*B1</f>
        <v>0</v>
      </c>
      <c r="S5" s="90" t="s">
        <v>103</v>
      </c>
    </row>
  </sheetData>
  <sheetProtection algorithmName="SHA-512" hashValue="06eBjL9P1w5xyuw6pdQLK7iJ6JSx0TvMWR1z+wghxqIai7z4l3KZG4PHXAZO3Xrw8A9/YjcU1+BuseQ/RjcbXg==" saltValue="e2a/vAhxT0UsMhXdlssuCw==" spinCount="100000" sheet="1" objects="1" scenarios="1"/>
  <protectedRanges>
    <protectedRange sqref="J2:J5" name="範圍2"/>
    <protectedRange sqref="B1" name="範圍1"/>
  </protectedRange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6C08-B161-4122-B882-637CB42A8C1F}">
  <dimension ref="A1"/>
  <sheetViews>
    <sheetView workbookViewId="0">
      <selection activeCell="M22" sqref="M22"/>
    </sheetView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調整前</vt:lpstr>
      <vt:lpstr>常用藥物計算機</vt:lpstr>
      <vt:lpstr>Ion dosage</vt:lpstr>
      <vt:lpstr>DART.BURST</vt:lpstr>
      <vt:lpstr>PUMP 總表115</vt:lpstr>
      <vt:lpstr>Dexmedetomidine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張運佳 CHANG YUN-CHIA</dc:creator>
  <cp:lastModifiedBy>張運佳 CHANG YUN-CHIA</cp:lastModifiedBy>
  <dcterms:created xsi:type="dcterms:W3CDTF">2025-09-25T06:58:41Z</dcterms:created>
  <dcterms:modified xsi:type="dcterms:W3CDTF">2026-06-16T05:29:10Z</dcterms:modified>
</cp:coreProperties>
</file>